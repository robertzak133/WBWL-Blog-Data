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878bbd60d8e20bd/Documents/BlogPosts/2022-04-01-Li-Ion-AA-Batteries/"/>
    </mc:Choice>
  </mc:AlternateContent>
  <xr:revisionPtr revIDLastSave="0" documentId="8_{CAA7AC55-D323-406F-8C4D-0D9A22B332A0}" xr6:coauthVersionLast="47" xr6:coauthVersionMax="47" xr10:uidLastSave="{00000000-0000-0000-0000-000000000000}"/>
  <bookViews>
    <workbookView xWindow="4200" yWindow="1005" windowWidth="19140" windowHeight="12480" activeTab="2" xr2:uid="{68595170-AA7C-41B9-BED1-9A3BBC4B3FC7}"/>
  </bookViews>
  <sheets>
    <sheet name="Summary" sheetId="1" r:id="rId1"/>
    <sheet name="Li-Ion Batteries" sheetId="11" r:id="rId2"/>
    <sheet name="PivotTable" sheetId="15" r:id="rId3"/>
  </sheets>
  <calcPr calcId="191029"/>
  <pivotCaches>
    <pivotCache cacheId="5" r:id="rId4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7" i="11" l="1"/>
  <c r="O37" i="11"/>
  <c r="P37" i="11"/>
  <c r="R37" i="11" s="1"/>
  <c r="L37" i="11"/>
  <c r="N37" i="11"/>
  <c r="R36" i="11"/>
  <c r="M36" i="11"/>
  <c r="O36" i="11"/>
  <c r="P36" i="11"/>
  <c r="L36" i="11"/>
  <c r="N36" i="11"/>
  <c r="R35" i="11"/>
  <c r="R34" i="11"/>
  <c r="R33" i="11"/>
  <c r="M35" i="11"/>
  <c r="P35" i="11" s="1"/>
  <c r="O35" i="11"/>
  <c r="L35" i="11"/>
  <c r="N35" i="11"/>
  <c r="M34" i="11"/>
  <c r="P34" i="11" s="1"/>
  <c r="O34" i="11"/>
  <c r="L34" i="11"/>
  <c r="N34" i="11"/>
  <c r="M33" i="11"/>
  <c r="O33" i="11"/>
  <c r="P33" i="11"/>
  <c r="L33" i="11"/>
  <c r="N33" i="11"/>
  <c r="M47" i="11"/>
  <c r="O47" i="11"/>
  <c r="L47" i="11"/>
  <c r="N47" i="11"/>
  <c r="M46" i="11"/>
  <c r="O46" i="11"/>
  <c r="L46" i="11"/>
  <c r="N46" i="11"/>
  <c r="M45" i="11"/>
  <c r="O45" i="11"/>
  <c r="L45" i="11"/>
  <c r="N45" i="11"/>
  <c r="M44" i="11"/>
  <c r="O44" i="11"/>
  <c r="L44" i="11"/>
  <c r="N44" i="11"/>
  <c r="M43" i="11"/>
  <c r="O43" i="11"/>
  <c r="L43" i="11"/>
  <c r="N43" i="11"/>
  <c r="P43" i="11" s="1"/>
  <c r="R43" i="11" s="1"/>
  <c r="M32" i="11"/>
  <c r="O32" i="11"/>
  <c r="L32" i="11"/>
  <c r="N32" i="11"/>
  <c r="M31" i="11"/>
  <c r="O31" i="11"/>
  <c r="L31" i="11"/>
  <c r="N31" i="11"/>
  <c r="M30" i="11"/>
  <c r="O30" i="11"/>
  <c r="L30" i="11"/>
  <c r="N30" i="11"/>
  <c r="P30" i="11" s="1"/>
  <c r="R30" i="11" s="1"/>
  <c r="M29" i="11"/>
  <c r="O29" i="11"/>
  <c r="L29" i="11"/>
  <c r="P29" i="11" s="1"/>
  <c r="R29" i="11" s="1"/>
  <c r="N29" i="11"/>
  <c r="M28" i="11"/>
  <c r="O28" i="11"/>
  <c r="L28" i="11"/>
  <c r="N28" i="11"/>
  <c r="L13" i="11"/>
  <c r="M13" i="11"/>
  <c r="N13" i="11"/>
  <c r="O13" i="11"/>
  <c r="L14" i="11"/>
  <c r="M14" i="11"/>
  <c r="N14" i="11"/>
  <c r="O14" i="11"/>
  <c r="L15" i="11"/>
  <c r="M15" i="11"/>
  <c r="N15" i="11"/>
  <c r="O15" i="11"/>
  <c r="L16" i="11"/>
  <c r="M16" i="11"/>
  <c r="N16" i="11"/>
  <c r="O16" i="11"/>
  <c r="L17" i="11"/>
  <c r="M17" i="11"/>
  <c r="N17" i="11"/>
  <c r="O17" i="11"/>
  <c r="O12" i="11"/>
  <c r="N12" i="11"/>
  <c r="M12" i="11"/>
  <c r="L12" i="11"/>
  <c r="O11" i="11"/>
  <c r="N11" i="11"/>
  <c r="M11" i="11"/>
  <c r="L11" i="11"/>
  <c r="O10" i="11"/>
  <c r="N10" i="11"/>
  <c r="M10" i="11"/>
  <c r="L10" i="11"/>
  <c r="L40" i="11"/>
  <c r="M40" i="11"/>
  <c r="N40" i="11"/>
  <c r="O40" i="11"/>
  <c r="L41" i="11"/>
  <c r="M41" i="11"/>
  <c r="N41" i="11"/>
  <c r="O41" i="11"/>
  <c r="L42" i="11"/>
  <c r="M42" i="11"/>
  <c r="N42" i="11"/>
  <c r="O42" i="11"/>
  <c r="L26" i="11"/>
  <c r="M26" i="11"/>
  <c r="L27" i="11"/>
  <c r="M27" i="11"/>
  <c r="O27" i="11"/>
  <c r="N27" i="11"/>
  <c r="O26" i="11"/>
  <c r="N26" i="11"/>
  <c r="O39" i="11"/>
  <c r="N39" i="11"/>
  <c r="M39" i="11"/>
  <c r="L39" i="11"/>
  <c r="O38" i="11"/>
  <c r="N38" i="11"/>
  <c r="M38" i="11"/>
  <c r="L38" i="11"/>
  <c r="N24" i="11"/>
  <c r="O24" i="11"/>
  <c r="N25" i="11"/>
  <c r="O25" i="11"/>
  <c r="M25" i="11"/>
  <c r="L25" i="11"/>
  <c r="M24" i="11"/>
  <c r="L24" i="11"/>
  <c r="O9" i="11"/>
  <c r="N9" i="11"/>
  <c r="M9" i="11"/>
  <c r="L9" i="11"/>
  <c r="O23" i="11"/>
  <c r="N23" i="11"/>
  <c r="M23" i="11"/>
  <c r="L23" i="11"/>
  <c r="O8" i="11"/>
  <c r="N8" i="11"/>
  <c r="M8" i="11"/>
  <c r="L8" i="11"/>
  <c r="O22" i="11"/>
  <c r="N22" i="11"/>
  <c r="M22" i="11"/>
  <c r="L22" i="11"/>
  <c r="O7" i="11"/>
  <c r="N7" i="11"/>
  <c r="M7" i="11"/>
  <c r="L7" i="11"/>
  <c r="L21" i="11"/>
  <c r="M21" i="11"/>
  <c r="N21" i="11"/>
  <c r="O21" i="11"/>
  <c r="L6" i="11"/>
  <c r="P6" i="11" s="1"/>
  <c r="R6" i="11" s="1"/>
  <c r="M6" i="11"/>
  <c r="N6" i="11"/>
  <c r="O6" i="11"/>
  <c r="L20" i="11"/>
  <c r="M20" i="11"/>
  <c r="N20" i="11"/>
  <c r="O20" i="11"/>
  <c r="L5" i="11"/>
  <c r="M5" i="11"/>
  <c r="N5" i="11"/>
  <c r="O5" i="11"/>
  <c r="L18" i="11"/>
  <c r="M18" i="11"/>
  <c r="N18" i="11"/>
  <c r="O18" i="11"/>
  <c r="L3" i="11"/>
  <c r="M3" i="11"/>
  <c r="N3" i="11"/>
  <c r="O3" i="11"/>
  <c r="O19" i="11"/>
  <c r="N19" i="11"/>
  <c r="M19" i="11"/>
  <c r="L19" i="11"/>
  <c r="M4" i="11"/>
  <c r="N4" i="11"/>
  <c r="O4" i="11"/>
  <c r="L4" i="11"/>
  <c r="P46" i="11" l="1"/>
  <c r="R46" i="11" s="1"/>
  <c r="P16" i="11"/>
  <c r="R16" i="11" s="1"/>
  <c r="P14" i="11"/>
  <c r="R14" i="11" s="1"/>
  <c r="P24" i="11"/>
  <c r="R24" i="11" s="1"/>
  <c r="P11" i="11"/>
  <c r="R11" i="11" s="1"/>
  <c r="P45" i="11"/>
  <c r="R45" i="11" s="1"/>
  <c r="P32" i="11"/>
  <c r="R32" i="11" s="1"/>
  <c r="P39" i="11"/>
  <c r="R39" i="11" s="1"/>
  <c r="P27" i="11"/>
  <c r="R27" i="11" s="1"/>
  <c r="P44" i="11"/>
  <c r="R44" i="11" s="1"/>
  <c r="P3" i="11"/>
  <c r="P25" i="11"/>
  <c r="R25" i="11" s="1"/>
  <c r="P10" i="11"/>
  <c r="R10" i="11" s="1"/>
  <c r="P17" i="11"/>
  <c r="R17" i="11" s="1"/>
  <c r="P15" i="11"/>
  <c r="R15" i="11" s="1"/>
  <c r="P13" i="11"/>
  <c r="R13" i="11" s="1"/>
  <c r="P7" i="11"/>
  <c r="R7" i="11" s="1"/>
  <c r="P8" i="11"/>
  <c r="R8" i="11" s="1"/>
  <c r="P9" i="11"/>
  <c r="R9" i="11" s="1"/>
  <c r="P12" i="11"/>
  <c r="R12" i="11" s="1"/>
  <c r="P28" i="11"/>
  <c r="R28" i="11" s="1"/>
  <c r="P47" i="11"/>
  <c r="R47" i="11" s="1"/>
  <c r="P5" i="11"/>
  <c r="R5" i="11" s="1"/>
  <c r="P42" i="11"/>
  <c r="R42" i="11" s="1"/>
  <c r="P31" i="11"/>
  <c r="R31" i="11" s="1"/>
  <c r="P23" i="11"/>
  <c r="R23" i="11" s="1"/>
  <c r="P20" i="11"/>
  <c r="R20" i="11" s="1"/>
  <c r="P22" i="11"/>
  <c r="R22" i="11" s="1"/>
  <c r="P26" i="11"/>
  <c r="R26" i="11" s="1"/>
  <c r="P41" i="11"/>
  <c r="R41" i="11" s="1"/>
  <c r="P18" i="11"/>
  <c r="P21" i="11"/>
  <c r="R21" i="11" s="1"/>
  <c r="P19" i="11"/>
  <c r="R19" i="11" s="1"/>
  <c r="P38" i="11"/>
  <c r="P40" i="11"/>
  <c r="R40" i="11" s="1"/>
  <c r="P4" i="11"/>
  <c r="R4" i="11" s="1"/>
  <c r="R18" i="11" l="1"/>
  <c r="R38" i="11"/>
  <c r="R3" i="11"/>
</calcChain>
</file>

<file path=xl/sharedStrings.xml><?xml version="1.0" encoding="utf-8"?>
<sst xmlns="http://schemas.openxmlformats.org/spreadsheetml/2006/main" count="77" uniqueCount="31">
  <si>
    <t>Temperature</t>
  </si>
  <si>
    <t>Capacity (mAh)</t>
  </si>
  <si>
    <t>Voltage</t>
  </si>
  <si>
    <t>Manufacturer</t>
  </si>
  <si>
    <t>Discharge Rate</t>
  </si>
  <si>
    <t>Pownergy</t>
  </si>
  <si>
    <t>Energy (mWh)</t>
  </si>
  <si>
    <t>EBL-3300</t>
  </si>
  <si>
    <t>Fraction</t>
  </si>
  <si>
    <t>TenaVolts AA</t>
  </si>
  <si>
    <t>VBattery1</t>
  </si>
  <si>
    <t>VBattery2</t>
  </si>
  <si>
    <t>VBattery3</t>
  </si>
  <si>
    <t>VBattery4</t>
  </si>
  <si>
    <t>CBattery1</t>
  </si>
  <si>
    <t>CBattery2</t>
  </si>
  <si>
    <t>CBattery3</t>
  </si>
  <si>
    <t>CBattery4</t>
  </si>
  <si>
    <t>EBattery1</t>
  </si>
  <si>
    <t>EBattery2</t>
  </si>
  <si>
    <t>EBattery3</t>
  </si>
  <si>
    <t>EBattery4</t>
  </si>
  <si>
    <t>EAverage</t>
  </si>
  <si>
    <t>EAdvertised</t>
  </si>
  <si>
    <t>Row Labels</t>
  </si>
  <si>
    <t>Grand Total</t>
  </si>
  <si>
    <t>Column Labels</t>
  </si>
  <si>
    <t>Average of EAverage</t>
  </si>
  <si>
    <t>Robert Zak</t>
  </si>
  <si>
    <t>Raw Capacity measurements of 3 types of AA rechargeable Li-Ion Batteries</t>
  </si>
  <si>
    <t>See related blog post 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</si>
</sst>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[2022-04-20-Li-Ion-AA-Battery-Capacity-Public.xlsx]PivotTable!PivotTable2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PivotTable!$B$4:$B$5</c:f>
              <c:strCache>
                <c:ptCount val="1"/>
                <c:pt idx="0">
                  <c:v>EBL-3300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PivotTable!$A$6:$A$24</c:f>
              <c:multiLvlStrCache>
                <c:ptCount val="15"/>
                <c:lvl>
                  <c:pt idx="0">
                    <c:v>100</c:v>
                  </c:pt>
                  <c:pt idx="1">
                    <c:v>200</c:v>
                  </c:pt>
                  <c:pt idx="2">
                    <c:v>300</c:v>
                  </c:pt>
                  <c:pt idx="3">
                    <c:v>400</c:v>
                  </c:pt>
                  <c:pt idx="4">
                    <c:v>500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400</c:v>
                  </c:pt>
                  <c:pt idx="9">
                    <c:v>500</c:v>
                  </c:pt>
                  <c:pt idx="10">
                    <c:v>100</c:v>
                  </c:pt>
                  <c:pt idx="11">
                    <c:v>200</c:v>
                  </c:pt>
                  <c:pt idx="12">
                    <c:v>300</c:v>
                  </c:pt>
                  <c:pt idx="13">
                    <c:v>400</c:v>
                  </c:pt>
                  <c:pt idx="14">
                    <c:v>500</c:v>
                  </c:pt>
                </c:lvl>
                <c:lvl>
                  <c:pt idx="0">
                    <c:v>0</c:v>
                  </c:pt>
                  <c:pt idx="5">
                    <c:v>40</c:v>
                  </c:pt>
                  <c:pt idx="10">
                    <c:v>68</c:v>
                  </c:pt>
                </c:lvl>
              </c:multiLvlStrCache>
            </c:multiLvlStrRef>
          </c:cat>
          <c:val>
            <c:numRef>
              <c:f>PivotTable!$B$6:$B$24</c:f>
              <c:numCache>
                <c:formatCode>General</c:formatCode>
                <c:ptCount val="15"/>
                <c:pt idx="0">
                  <c:v>2254.92</c:v>
                </c:pt>
                <c:pt idx="1">
                  <c:v>2179.6800000000003</c:v>
                </c:pt>
                <c:pt idx="2">
                  <c:v>2188.4849999999997</c:v>
                </c:pt>
                <c:pt idx="3">
                  <c:v>2282.2799999999997</c:v>
                </c:pt>
                <c:pt idx="4">
                  <c:v>2137.12</c:v>
                </c:pt>
                <c:pt idx="5">
                  <c:v>2577.2199999999998</c:v>
                </c:pt>
                <c:pt idx="6">
                  <c:v>2637.6400000000003</c:v>
                </c:pt>
                <c:pt idx="7">
                  <c:v>2639.99</c:v>
                </c:pt>
                <c:pt idx="8">
                  <c:v>2700.59</c:v>
                </c:pt>
                <c:pt idx="9">
                  <c:v>2743.73</c:v>
                </c:pt>
                <c:pt idx="10">
                  <c:v>2689.8575000000001</c:v>
                </c:pt>
                <c:pt idx="11">
                  <c:v>2785.9975000000004</c:v>
                </c:pt>
                <c:pt idx="12">
                  <c:v>2757.9924999999998</c:v>
                </c:pt>
                <c:pt idx="13">
                  <c:v>2808.87</c:v>
                </c:pt>
                <c:pt idx="14">
                  <c:v>2813.8274999999999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5F-4F32-A7AA-D02E22097858}"/>
            </c:ext>
          </c:extLst>
        </c:ser>
        <c:ser>
          <c:idx val="1"/>
          <c:order val="1"/>
          <c:tx>
            <c:strRef>
              <c:f>PivotTable!$C$4:$C$5</c:f>
              <c:strCache>
                <c:ptCount val="1"/>
                <c:pt idx="0">
                  <c:v>Pownergy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PivotTable!$A$6:$A$24</c:f>
              <c:multiLvlStrCache>
                <c:ptCount val="15"/>
                <c:lvl>
                  <c:pt idx="0">
                    <c:v>100</c:v>
                  </c:pt>
                  <c:pt idx="1">
                    <c:v>200</c:v>
                  </c:pt>
                  <c:pt idx="2">
                    <c:v>300</c:v>
                  </c:pt>
                  <c:pt idx="3">
                    <c:v>400</c:v>
                  </c:pt>
                  <c:pt idx="4">
                    <c:v>500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400</c:v>
                  </c:pt>
                  <c:pt idx="9">
                    <c:v>500</c:v>
                  </c:pt>
                  <c:pt idx="10">
                    <c:v>100</c:v>
                  </c:pt>
                  <c:pt idx="11">
                    <c:v>200</c:v>
                  </c:pt>
                  <c:pt idx="12">
                    <c:v>300</c:v>
                  </c:pt>
                  <c:pt idx="13">
                    <c:v>400</c:v>
                  </c:pt>
                  <c:pt idx="14">
                    <c:v>500</c:v>
                  </c:pt>
                </c:lvl>
                <c:lvl>
                  <c:pt idx="0">
                    <c:v>0</c:v>
                  </c:pt>
                  <c:pt idx="5">
                    <c:v>40</c:v>
                  </c:pt>
                  <c:pt idx="10">
                    <c:v>68</c:v>
                  </c:pt>
                </c:lvl>
              </c:multiLvlStrCache>
            </c:multiLvlStrRef>
          </c:cat>
          <c:val>
            <c:numRef>
              <c:f>PivotTable!$C$6:$C$24</c:f>
              <c:numCache>
                <c:formatCode>General</c:formatCode>
                <c:ptCount val="15"/>
                <c:pt idx="0">
                  <c:v>2270.4</c:v>
                </c:pt>
                <c:pt idx="1">
                  <c:v>2362.8000000000002</c:v>
                </c:pt>
                <c:pt idx="2">
                  <c:v>2400.4</c:v>
                </c:pt>
                <c:pt idx="3">
                  <c:v>2407.2000000000003</c:v>
                </c:pt>
                <c:pt idx="4">
                  <c:v>2409.2000000000003</c:v>
                </c:pt>
                <c:pt idx="5">
                  <c:v>2578.4000000000005</c:v>
                </c:pt>
                <c:pt idx="6">
                  <c:v>2588.8024999999998</c:v>
                </c:pt>
                <c:pt idx="7">
                  <c:v>2634.27</c:v>
                </c:pt>
                <c:pt idx="8">
                  <c:v>2666.4000000000005</c:v>
                </c:pt>
                <c:pt idx="9">
                  <c:v>2704</c:v>
                </c:pt>
                <c:pt idx="10">
                  <c:v>2602.8000000000002</c:v>
                </c:pt>
                <c:pt idx="11">
                  <c:v>2656.8074999999999</c:v>
                </c:pt>
                <c:pt idx="12">
                  <c:v>2674.11</c:v>
                </c:pt>
                <c:pt idx="13">
                  <c:v>2701.0875000000005</c:v>
                </c:pt>
                <c:pt idx="14">
                  <c:v>2744.6800000000003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95F-4F32-A7AA-D02E22097858}"/>
            </c:ext>
          </c:extLst>
        </c:ser>
        <c:ser>
          <c:idx val="2"/>
          <c:order val="2"/>
          <c:tx>
            <c:strRef>
              <c:f>PivotTable!$D$4:$D$5</c:f>
              <c:strCache>
                <c:ptCount val="1"/>
                <c:pt idx="0">
                  <c:v>TenaVolts AA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PivotTable!$A$6:$A$24</c:f>
              <c:multiLvlStrCache>
                <c:ptCount val="15"/>
                <c:lvl>
                  <c:pt idx="0">
                    <c:v>100</c:v>
                  </c:pt>
                  <c:pt idx="1">
                    <c:v>200</c:v>
                  </c:pt>
                  <c:pt idx="2">
                    <c:v>300</c:v>
                  </c:pt>
                  <c:pt idx="3">
                    <c:v>400</c:v>
                  </c:pt>
                  <c:pt idx="4">
                    <c:v>500</c:v>
                  </c:pt>
                  <c:pt idx="5">
                    <c:v>100</c:v>
                  </c:pt>
                  <c:pt idx="6">
                    <c:v>200</c:v>
                  </c:pt>
                  <c:pt idx="7">
                    <c:v>300</c:v>
                  </c:pt>
                  <c:pt idx="8">
                    <c:v>400</c:v>
                  </c:pt>
                  <c:pt idx="9">
                    <c:v>500</c:v>
                  </c:pt>
                  <c:pt idx="10">
                    <c:v>100</c:v>
                  </c:pt>
                  <c:pt idx="11">
                    <c:v>200</c:v>
                  </c:pt>
                  <c:pt idx="12">
                    <c:v>300</c:v>
                  </c:pt>
                  <c:pt idx="13">
                    <c:v>400</c:v>
                  </c:pt>
                  <c:pt idx="14">
                    <c:v>500</c:v>
                  </c:pt>
                </c:lvl>
                <c:lvl>
                  <c:pt idx="0">
                    <c:v>0</c:v>
                  </c:pt>
                  <c:pt idx="5">
                    <c:v>40</c:v>
                  </c:pt>
                  <c:pt idx="10">
                    <c:v>68</c:v>
                  </c:pt>
                </c:lvl>
              </c:multiLvlStrCache>
            </c:multiLvlStrRef>
          </c:cat>
          <c:val>
            <c:numRef>
              <c:f>PivotTable!$D$6:$D$24</c:f>
              <c:numCache>
                <c:formatCode>General</c:formatCode>
                <c:ptCount val="15"/>
                <c:pt idx="0">
                  <c:v>2288.6400000000003</c:v>
                </c:pt>
                <c:pt idx="1">
                  <c:v>2335.8249999999998</c:v>
                </c:pt>
                <c:pt idx="2">
                  <c:v>2423.0500000000002</c:v>
                </c:pt>
                <c:pt idx="3">
                  <c:v>2436.0150000000003</c:v>
                </c:pt>
                <c:pt idx="4">
                  <c:v>2422.58</c:v>
                </c:pt>
                <c:pt idx="5">
                  <c:v>2580.0749999999998</c:v>
                </c:pt>
                <c:pt idx="6">
                  <c:v>2646.355</c:v>
                </c:pt>
                <c:pt idx="7">
                  <c:v>2656.01</c:v>
                </c:pt>
                <c:pt idx="8">
                  <c:v>2709.5600000000004</c:v>
                </c:pt>
                <c:pt idx="9">
                  <c:v>2716.3900000000003</c:v>
                </c:pt>
                <c:pt idx="10">
                  <c:v>2747.71</c:v>
                </c:pt>
                <c:pt idx="11">
                  <c:v>2698.4700000000003</c:v>
                </c:pt>
                <c:pt idx="12">
                  <c:v>2713.13</c:v>
                </c:pt>
                <c:pt idx="13">
                  <c:v>2776.0199999999995</c:v>
                </c:pt>
                <c:pt idx="14">
                  <c:v>2756.04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95F-4F32-A7AA-D02E22097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7127032"/>
        <c:axId val="557129984"/>
      </c:barChart>
      <c:catAx>
        <c:axId val="557127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29984"/>
        <c:crosses val="autoZero"/>
        <c:auto val="1"/>
        <c:lblAlgn val="ctr"/>
        <c:lblOffset val="100"/>
        <c:noMultiLvlLbl val="0"/>
      </c:catAx>
      <c:valAx>
        <c:axId val="55712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127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2</xdr:row>
      <xdr:rowOff>76199</xdr:rowOff>
    </xdr:from>
    <xdr:to>
      <xdr:col>13</xdr:col>
      <xdr:colOff>266700</xdr:colOff>
      <xdr:row>22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46B6E5-79CC-4328-A8C4-311BC28FC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b Zak" refreshedDate="44671.694092361111" createdVersion="7" refreshedVersion="7" minRefreshableVersion="3" recordCount="45" xr:uid="{C6EF1D12-40C5-4688-90D9-FFDF820C141D}">
  <cacheSource type="worksheet">
    <worksheetSource ref="A2:R47" sheet="Li-Ion Batteries"/>
  </cacheSource>
  <cacheFields count="18">
    <cacheField name="Manufacturer" numFmtId="0">
      <sharedItems count="3">
        <s v="Pownergy"/>
        <s v="EBL-3300"/>
        <s v="TenaVolts AA"/>
      </sharedItems>
    </cacheField>
    <cacheField name="Temperature" numFmtId="0">
      <sharedItems containsSemiMixedTypes="0" containsString="0" containsNumber="1" containsInteger="1" minValue="0" maxValue="68" count="4">
        <n v="68"/>
        <n v="40"/>
        <n v="0"/>
        <n v="65" u="1"/>
      </sharedItems>
    </cacheField>
    <cacheField name="Discharge Rate" numFmtId="0">
      <sharedItems containsSemiMixedTypes="0" containsString="0" containsNumber="1" containsInteger="1" minValue="100" maxValue="500" count="5">
        <n v="100"/>
        <n v="200"/>
        <n v="300"/>
        <n v="400"/>
        <n v="500"/>
      </sharedItems>
    </cacheField>
    <cacheField name="VBattery1" numFmtId="0">
      <sharedItems containsSemiMixedTypes="0" containsString="0" containsNumber="1" minValue="1.52" maxValue="1.6"/>
    </cacheField>
    <cacheField name="VBattery2" numFmtId="0">
      <sharedItems containsSemiMixedTypes="0" containsString="0" containsNumber="1" minValue="1.52" maxValue="1.61"/>
    </cacheField>
    <cacheField name="VBattery3" numFmtId="0">
      <sharedItems containsSemiMixedTypes="0" containsString="0" containsNumber="1" minValue="1.52" maxValue="1.6"/>
    </cacheField>
    <cacheField name="VBattery4" numFmtId="0">
      <sharedItems containsSemiMixedTypes="0" containsString="0" containsNumber="1" minValue="1.51" maxValue="1.61"/>
    </cacheField>
    <cacheField name="CBattery1" numFmtId="0">
      <sharedItems containsSemiMixedTypes="0" containsString="0" containsNumber="1" containsInteger="1" minValue="1390" maxValue="1819"/>
    </cacheField>
    <cacheField name="CBattery2" numFmtId="0">
      <sharedItems containsSemiMixedTypes="0" containsString="0" containsNumber="1" containsInteger="1" minValue="1433" maxValue="1874"/>
    </cacheField>
    <cacheField name="CBattery3" numFmtId="0">
      <sharedItems containsSemiMixedTypes="0" containsString="0" containsNumber="1" containsInteger="1" minValue="1401" maxValue="1877"/>
    </cacheField>
    <cacheField name="CBattery4" numFmtId="0">
      <sharedItems containsSemiMixedTypes="0" containsString="0" containsNumber="1" containsInteger="1" minValue="1395" maxValue="1848"/>
    </cacheField>
    <cacheField name="EBattery1" numFmtId="0">
      <sharedItems containsSemiMixedTypes="0" containsString="0" containsNumber="1" minValue="2152.3200000000002" maxValue="2850.8700000000003"/>
    </cacheField>
    <cacheField name="EBattery2" numFmtId="0">
      <sharedItems containsSemiMixedTypes="0" containsString="0" containsNumber="1" minValue="2120.4" maxValue="2848.48"/>
    </cacheField>
    <cacheField name="EBattery3" numFmtId="0">
      <sharedItems containsSemiMixedTypes="0" containsString="0" containsNumber="1" minValue="2152.3200000000002" maxValue="2853.04"/>
    </cacheField>
    <cacheField name="EBattery4" numFmtId="0">
      <sharedItems containsSemiMixedTypes="0" containsString="0" containsNumber="1" minValue="2120.4" maxValue="2790.48"/>
    </cacheField>
    <cacheField name="EAverage" numFmtId="0">
      <sharedItems containsSemiMixedTypes="0" containsString="0" containsNumber="1" minValue="2137.12" maxValue="2813.8274999999999"/>
    </cacheField>
    <cacheField name="EAdvertised" numFmtId="0">
      <sharedItems containsSemiMixedTypes="0" containsString="0" containsNumber="1" containsInteger="1" minValue="2775" maxValue="3300"/>
    </cacheField>
    <cacheField name="Fraction" numFmtId="0">
      <sharedItems containsSemiMixedTypes="0" containsString="0" containsNumber="1" minValue="0.64761212121212119" maxValue="1.00036756756756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x v="0"/>
    <x v="0"/>
    <n v="1.6"/>
    <n v="1.6"/>
    <n v="1.6"/>
    <n v="1.6"/>
    <n v="1654"/>
    <n v="1633"/>
    <n v="1625"/>
    <n v="1595"/>
    <n v="2646.4"/>
    <n v="2612.8000000000002"/>
    <n v="2600"/>
    <n v="2552"/>
    <n v="2602.8000000000002"/>
    <n v="3000"/>
    <n v="0.86760000000000004"/>
  </r>
  <r>
    <x v="0"/>
    <x v="0"/>
    <x v="1"/>
    <n v="1.58"/>
    <n v="1.61"/>
    <n v="1.58"/>
    <n v="1.61"/>
    <n v="1677"/>
    <n v="1671"/>
    <n v="1663"/>
    <n v="1652"/>
    <n v="2649.6600000000003"/>
    <n v="2690.31"/>
    <n v="2627.54"/>
    <n v="2659.7200000000003"/>
    <n v="2656.8074999999999"/>
    <n v="3000"/>
    <n v="0.88560249999999996"/>
  </r>
  <r>
    <x v="0"/>
    <x v="0"/>
    <x v="2"/>
    <n v="1.58"/>
    <n v="1.59"/>
    <n v="1.59"/>
    <n v="1.59"/>
    <n v="1698"/>
    <n v="1695"/>
    <n v="1676"/>
    <n v="1669"/>
    <n v="2682.84"/>
    <n v="2695.05"/>
    <n v="2664.84"/>
    <n v="2653.71"/>
    <n v="2674.11"/>
    <n v="3000"/>
    <n v="0.89137"/>
  </r>
  <r>
    <x v="0"/>
    <x v="0"/>
    <x v="3"/>
    <n v="1.58"/>
    <n v="1.61"/>
    <n v="1.58"/>
    <n v="1.59"/>
    <n v="1709"/>
    <n v="1715"/>
    <n v="1691"/>
    <n v="1680"/>
    <n v="2700.2200000000003"/>
    <n v="2761.15"/>
    <n v="2671.78"/>
    <n v="2671.2000000000003"/>
    <n v="2701.0875000000005"/>
    <n v="3000"/>
    <n v="0.90036250000000018"/>
  </r>
  <r>
    <x v="0"/>
    <x v="0"/>
    <x v="4"/>
    <n v="1.59"/>
    <n v="1.59"/>
    <n v="1.58"/>
    <n v="1.6"/>
    <n v="1735"/>
    <n v="1733"/>
    <n v="1730"/>
    <n v="1707"/>
    <n v="2758.65"/>
    <n v="2755.4700000000003"/>
    <n v="2733.4"/>
    <n v="2731.2000000000003"/>
    <n v="2744.6800000000003"/>
    <n v="3000"/>
    <n v="0.91489333333333345"/>
  </r>
  <r>
    <x v="0"/>
    <x v="1"/>
    <x v="0"/>
    <n v="1.6"/>
    <n v="1.6"/>
    <n v="1.6"/>
    <n v="1.6"/>
    <n v="1640"/>
    <n v="1617"/>
    <n v="1606"/>
    <n v="1583"/>
    <n v="2624"/>
    <n v="2587.2000000000003"/>
    <n v="2569.6000000000004"/>
    <n v="2532.8000000000002"/>
    <n v="2578.4000000000005"/>
    <n v="3000"/>
    <n v="0.85946666666666682"/>
  </r>
  <r>
    <x v="0"/>
    <x v="1"/>
    <x v="1"/>
    <n v="1.57"/>
    <n v="1.58"/>
    <n v="1.59"/>
    <n v="1.58"/>
    <n v="1637"/>
    <n v="1656"/>
    <n v="1626"/>
    <n v="1635"/>
    <n v="2570.09"/>
    <n v="2616.48"/>
    <n v="2585.34"/>
    <n v="2583.3000000000002"/>
    <n v="2588.8024999999998"/>
    <n v="3000"/>
    <n v="0.86293416666666656"/>
  </r>
  <r>
    <x v="0"/>
    <x v="1"/>
    <x v="2"/>
    <n v="1.57"/>
    <n v="1.6"/>
    <n v="1.58"/>
    <n v="1.59"/>
    <n v="1665"/>
    <n v="1671"/>
    <n v="1665"/>
    <n v="1647"/>
    <n v="2614.0500000000002"/>
    <n v="2673.6000000000004"/>
    <n v="2630.7000000000003"/>
    <n v="2618.73"/>
    <n v="2634.27"/>
    <n v="3000"/>
    <n v="0.87809000000000004"/>
  </r>
  <r>
    <x v="0"/>
    <x v="1"/>
    <x v="3"/>
    <n v="1.6"/>
    <n v="1.6"/>
    <n v="1.6"/>
    <n v="1.6"/>
    <n v="1670"/>
    <n v="1672"/>
    <n v="1663"/>
    <n v="1661"/>
    <n v="2672"/>
    <n v="2675.2000000000003"/>
    <n v="2660.8"/>
    <n v="2657.6000000000004"/>
    <n v="2666.4000000000005"/>
    <n v="3000"/>
    <n v="0.88880000000000015"/>
  </r>
  <r>
    <x v="0"/>
    <x v="1"/>
    <x v="4"/>
    <n v="1.6"/>
    <n v="1.6"/>
    <n v="1.6"/>
    <n v="1.6"/>
    <n v="1675"/>
    <n v="1713"/>
    <n v="1682"/>
    <n v="1690"/>
    <n v="2680"/>
    <n v="2740.8"/>
    <n v="2691.2000000000003"/>
    <n v="2704"/>
    <n v="2704"/>
    <n v="3000"/>
    <n v="0.90133333333333332"/>
  </r>
  <r>
    <x v="0"/>
    <x v="2"/>
    <x v="0"/>
    <n v="1.6"/>
    <n v="1.6"/>
    <n v="1.6"/>
    <n v="1.6"/>
    <n v="1416"/>
    <n v="1433"/>
    <n v="1401"/>
    <n v="1426"/>
    <n v="2265.6"/>
    <n v="2292.8000000000002"/>
    <n v="2241.6"/>
    <n v="2281.6"/>
    <n v="2270.4"/>
    <n v="3000"/>
    <n v="0.75680000000000003"/>
  </r>
  <r>
    <x v="0"/>
    <x v="2"/>
    <x v="1"/>
    <n v="1.6"/>
    <n v="1.6"/>
    <n v="1.6"/>
    <n v="1.6"/>
    <n v="1485"/>
    <n v="1489"/>
    <n v="1486"/>
    <n v="1447"/>
    <n v="2376"/>
    <n v="2382.4"/>
    <n v="2377.6"/>
    <n v="2315.2000000000003"/>
    <n v="2362.8000000000002"/>
    <n v="3000"/>
    <n v="0.78760000000000008"/>
  </r>
  <r>
    <x v="0"/>
    <x v="2"/>
    <x v="2"/>
    <n v="1.6"/>
    <n v="1.6"/>
    <n v="1.6"/>
    <n v="1.6"/>
    <n v="1502"/>
    <n v="1498"/>
    <n v="1528"/>
    <n v="1473"/>
    <n v="2403.2000000000003"/>
    <n v="2396.8000000000002"/>
    <n v="2444.8000000000002"/>
    <n v="2356.8000000000002"/>
    <n v="2400.4"/>
    <n v="3000"/>
    <n v="0.80013333333333336"/>
  </r>
  <r>
    <x v="0"/>
    <x v="2"/>
    <x v="3"/>
    <n v="1.6"/>
    <n v="1.6"/>
    <n v="1.6"/>
    <n v="1.6"/>
    <n v="1500"/>
    <n v="1495"/>
    <n v="1532"/>
    <n v="1491"/>
    <n v="2400"/>
    <n v="2392"/>
    <n v="2451.2000000000003"/>
    <n v="2385.6"/>
    <n v="2407.2000000000003"/>
    <n v="3000"/>
    <n v="0.80240000000000011"/>
  </r>
  <r>
    <x v="0"/>
    <x v="2"/>
    <x v="4"/>
    <n v="1.6"/>
    <n v="1.6"/>
    <n v="1.6"/>
    <n v="1.6"/>
    <n v="1502"/>
    <n v="1502"/>
    <n v="1538"/>
    <n v="1481"/>
    <n v="2403.2000000000003"/>
    <n v="2403.2000000000003"/>
    <n v="2460.8000000000002"/>
    <n v="2369.6"/>
    <n v="2409.2000000000003"/>
    <n v="3000"/>
    <n v="0.80306666666666671"/>
  </r>
  <r>
    <x v="1"/>
    <x v="0"/>
    <x v="0"/>
    <n v="1.52"/>
    <n v="1.52"/>
    <n v="1.52"/>
    <n v="1.51"/>
    <n v="1816"/>
    <n v="1759"/>
    <n v="1778"/>
    <n v="1737"/>
    <n v="2760.32"/>
    <n v="2673.68"/>
    <n v="2702.56"/>
    <n v="2622.87"/>
    <n v="2689.8575000000001"/>
    <n v="3300"/>
    <n v="0.81510833333333332"/>
  </r>
  <r>
    <x v="1"/>
    <x v="0"/>
    <x v="1"/>
    <n v="1.59"/>
    <n v="1.52"/>
    <n v="1.52"/>
    <n v="1.52"/>
    <n v="1793"/>
    <n v="1837"/>
    <n v="1818"/>
    <n v="1801"/>
    <n v="2850.8700000000003"/>
    <n v="2792.2400000000002"/>
    <n v="2763.36"/>
    <n v="2737.52"/>
    <n v="2785.9975000000004"/>
    <n v="3300"/>
    <n v="0.84424166666666678"/>
  </r>
  <r>
    <x v="1"/>
    <x v="0"/>
    <x v="2"/>
    <n v="1.53"/>
    <n v="1.53"/>
    <n v="1.52"/>
    <n v="1.51"/>
    <n v="1784"/>
    <n v="1831"/>
    <n v="1821"/>
    <n v="1810"/>
    <n v="2729.52"/>
    <n v="2801.43"/>
    <n v="2767.92"/>
    <n v="2733.1"/>
    <n v="2757.9924999999998"/>
    <n v="3300"/>
    <n v="0.83575530303030299"/>
  </r>
  <r>
    <x v="1"/>
    <x v="0"/>
    <x v="3"/>
    <n v="1.53"/>
    <n v="1.52"/>
    <n v="1.52"/>
    <n v="1.51"/>
    <n v="1812"/>
    <n v="1855"/>
    <n v="1877"/>
    <n v="1848"/>
    <n v="2772.36"/>
    <n v="2819.6"/>
    <n v="2853.04"/>
    <n v="2790.48"/>
    <n v="2808.87"/>
    <n v="3300"/>
    <n v="0.85117272727272719"/>
  </r>
  <r>
    <x v="1"/>
    <x v="0"/>
    <x v="4"/>
    <n v="1.53"/>
    <n v="1.52"/>
    <n v="1.52"/>
    <n v="1.51"/>
    <n v="1819"/>
    <n v="1874"/>
    <n v="1864"/>
    <n v="1848"/>
    <n v="2783.07"/>
    <n v="2848.48"/>
    <n v="2833.28"/>
    <n v="2790.48"/>
    <n v="2813.8274999999999"/>
    <n v="3300"/>
    <n v="0.85267499999999996"/>
  </r>
  <r>
    <x v="1"/>
    <x v="1"/>
    <x v="0"/>
    <n v="1.52"/>
    <n v="1.52"/>
    <n v="1.53"/>
    <n v="1.51"/>
    <n v="1671"/>
    <n v="1723"/>
    <n v="1706"/>
    <n v="1682"/>
    <n v="2539.92"/>
    <n v="2618.96"/>
    <n v="2610.1799999999998"/>
    <n v="2539.8200000000002"/>
    <n v="2577.2199999999998"/>
    <n v="3300"/>
    <n v="0.78097575757575755"/>
  </r>
  <r>
    <x v="1"/>
    <x v="1"/>
    <x v="1"/>
    <n v="1.58"/>
    <n v="1.53"/>
    <n v="1.52"/>
    <n v="1.51"/>
    <n v="1649"/>
    <n v="1759"/>
    <n v="1746"/>
    <n v="1736"/>
    <n v="2653.92"/>
    <n v="2621.36"/>
    <n v="2653.92"/>
    <n v="2621.36"/>
    <n v="2637.6400000000003"/>
    <n v="3300"/>
    <n v="0.7992848484848486"/>
  </r>
  <r>
    <x v="1"/>
    <x v="1"/>
    <x v="2"/>
    <n v="1.52"/>
    <n v="1.52"/>
    <n v="1.52"/>
    <n v="1.51"/>
    <n v="1714"/>
    <n v="1776"/>
    <n v="1763"/>
    <n v="1722"/>
    <n v="2679.76"/>
    <n v="2600.2199999999998"/>
    <n v="2679.76"/>
    <n v="2600.2199999999998"/>
    <n v="2639.99"/>
    <n v="3300"/>
    <n v="0.79999696969696965"/>
  </r>
  <r>
    <x v="1"/>
    <x v="1"/>
    <x v="3"/>
    <n v="1.58"/>
    <n v="1.53"/>
    <n v="1.52"/>
    <n v="1.51"/>
    <n v="1734"/>
    <n v="1804"/>
    <n v="1803"/>
    <n v="1762"/>
    <n v="2740.56"/>
    <n v="2660.62"/>
    <n v="2740.56"/>
    <n v="2660.62"/>
    <n v="2700.59"/>
    <n v="3300"/>
    <n v="0.81836060606060612"/>
  </r>
  <r>
    <x v="1"/>
    <x v="1"/>
    <x v="4"/>
    <n v="1.52"/>
    <n v="1.52"/>
    <n v="1.52"/>
    <n v="1.51"/>
    <n v="1752"/>
    <n v="1827"/>
    <n v="1824"/>
    <n v="1798"/>
    <n v="2772.48"/>
    <n v="2714.98"/>
    <n v="2772.48"/>
    <n v="2714.98"/>
    <n v="2743.73"/>
    <n v="3300"/>
    <n v="0.83143333333333336"/>
  </r>
  <r>
    <x v="1"/>
    <x v="2"/>
    <x v="0"/>
    <n v="1.58"/>
    <n v="1.52"/>
    <n v="1.52"/>
    <n v="1.52"/>
    <n v="1475"/>
    <n v="1498"/>
    <n v="1487"/>
    <n v="1480"/>
    <n v="2260.2400000000002"/>
    <n v="2249.6"/>
    <n v="2260.2400000000002"/>
    <n v="2249.6"/>
    <n v="2254.92"/>
    <n v="3300"/>
    <n v="0.68330909090909098"/>
  </r>
  <r>
    <x v="1"/>
    <x v="2"/>
    <x v="1"/>
    <n v="1.52"/>
    <n v="1.52"/>
    <n v="1.52"/>
    <n v="1.52"/>
    <n v="1435"/>
    <n v="1493"/>
    <n v="1473"/>
    <n v="1395"/>
    <n v="2238.96"/>
    <n v="2120.4"/>
    <n v="2238.96"/>
    <n v="2120.4"/>
    <n v="2179.6800000000003"/>
    <n v="3300"/>
    <n v="0.66050909090909105"/>
  </r>
  <r>
    <x v="1"/>
    <x v="2"/>
    <x v="2"/>
    <n v="1.53"/>
    <n v="1.52"/>
    <n v="1.52"/>
    <n v="1.51"/>
    <n v="1463"/>
    <n v="1460"/>
    <n v="1458"/>
    <n v="1431"/>
    <n v="2216.16"/>
    <n v="2160.81"/>
    <n v="2216.16"/>
    <n v="2160.81"/>
    <n v="2188.4849999999997"/>
    <n v="3300"/>
    <n v="0.66317727272727267"/>
  </r>
  <r>
    <x v="1"/>
    <x v="2"/>
    <x v="3"/>
    <n v="1.53"/>
    <n v="1.52"/>
    <n v="1.52"/>
    <n v="1.52"/>
    <n v="1460"/>
    <n v="1580"/>
    <n v="1518"/>
    <n v="1485"/>
    <n v="2307.36"/>
    <n v="2257.1999999999998"/>
    <n v="2307.36"/>
    <n v="2257.1999999999998"/>
    <n v="2282.2799999999997"/>
    <n v="3300"/>
    <n v="0.69159999999999988"/>
  </r>
  <r>
    <x v="1"/>
    <x v="2"/>
    <x v="4"/>
    <n v="1.53"/>
    <n v="1.53"/>
    <n v="1.52"/>
    <n v="1.52"/>
    <n v="1390"/>
    <n v="1475"/>
    <n v="1416"/>
    <n v="1396"/>
    <n v="2152.3200000000002"/>
    <n v="2121.92"/>
    <n v="2152.3200000000002"/>
    <n v="2121.92"/>
    <n v="2137.12"/>
    <n v="3300"/>
    <n v="0.64761212121212119"/>
  </r>
  <r>
    <x v="2"/>
    <x v="0"/>
    <x v="0"/>
    <n v="1.52"/>
    <n v="1.52"/>
    <n v="1.52"/>
    <n v="1.55"/>
    <n v="1744"/>
    <n v="1735"/>
    <n v="1786"/>
    <n v="1794"/>
    <n v="2714.7200000000003"/>
    <n v="2780.7000000000003"/>
    <n v="2714.7200000000003"/>
    <n v="2780.7000000000003"/>
    <n v="2747.71"/>
    <n v="2775"/>
    <n v="0.99016576576576576"/>
  </r>
  <r>
    <x v="2"/>
    <x v="0"/>
    <x v="1"/>
    <n v="1.52"/>
    <n v="1.52"/>
    <n v="1.52"/>
    <n v="1.55"/>
    <n v="1708"/>
    <n v="1780"/>
    <n v="1762"/>
    <n v="1754"/>
    <n v="2678.2400000000002"/>
    <n v="2718.7000000000003"/>
    <n v="2678.2400000000002"/>
    <n v="2718.7000000000003"/>
    <n v="2698.4700000000003"/>
    <n v="2775"/>
    <n v="0.97242162162162171"/>
  </r>
  <r>
    <x v="2"/>
    <x v="0"/>
    <x v="2"/>
    <n v="1.53"/>
    <n v="1.52"/>
    <n v="1.53"/>
    <n v="1.54"/>
    <n v="1709"/>
    <n v="1773"/>
    <n v="1764"/>
    <n v="1771"/>
    <n v="2698.92"/>
    <n v="2727.34"/>
    <n v="2698.92"/>
    <n v="2727.34"/>
    <n v="2713.13"/>
    <n v="2775"/>
    <n v="0.97770450450450452"/>
  </r>
  <r>
    <x v="2"/>
    <x v="0"/>
    <x v="3"/>
    <n v="1.53"/>
    <n v="1.52"/>
    <n v="1.53"/>
    <n v="1.54"/>
    <n v="1714"/>
    <n v="1800"/>
    <n v="1814"/>
    <n v="1803"/>
    <n v="2775.42"/>
    <n v="2776.62"/>
    <n v="2775.42"/>
    <n v="2776.62"/>
    <n v="2776.0199999999995"/>
    <n v="2775"/>
    <n v="1.0003675675675674"/>
  </r>
  <r>
    <x v="2"/>
    <x v="0"/>
    <x v="4"/>
    <n v="1.53"/>
    <n v="1.52"/>
    <n v="1.52"/>
    <n v="1.55"/>
    <n v="1732"/>
    <n v="1815"/>
    <n v="1799"/>
    <n v="1792"/>
    <n v="2734.48"/>
    <n v="2777.6"/>
    <n v="2734.48"/>
    <n v="2777.6"/>
    <n v="2756.04"/>
    <n v="2775"/>
    <n v="0.99316756756756752"/>
  </r>
  <r>
    <x v="2"/>
    <x v="1"/>
    <x v="0"/>
    <n v="1.53"/>
    <n v="1.52"/>
    <n v="1.52"/>
    <n v="1.57"/>
    <n v="1621"/>
    <n v="1688"/>
    <n v="1673"/>
    <n v="1667"/>
    <n v="2542.96"/>
    <n v="2617.19"/>
    <n v="2542.96"/>
    <n v="2617.19"/>
    <n v="2580.0749999999998"/>
    <n v="2775"/>
    <n v="0.92975675675675673"/>
  </r>
  <r>
    <x v="2"/>
    <x v="1"/>
    <x v="1"/>
    <n v="1.58"/>
    <n v="1.52"/>
    <n v="1.52"/>
    <n v="1.55"/>
    <n v="1651"/>
    <n v="1731"/>
    <n v="1723"/>
    <n v="1725"/>
    <n v="2618.96"/>
    <n v="2673.75"/>
    <n v="2618.96"/>
    <n v="2673.75"/>
    <n v="2646.355"/>
    <n v="2775"/>
    <n v="0.95364144144144147"/>
  </r>
  <r>
    <x v="2"/>
    <x v="1"/>
    <x v="2"/>
    <n v="1.56"/>
    <n v="1.52"/>
    <n v="1.52"/>
    <n v="1.54"/>
    <n v="1667"/>
    <n v="1745"/>
    <n v="1743"/>
    <n v="1729"/>
    <n v="2649.36"/>
    <n v="2662.66"/>
    <n v="2649.36"/>
    <n v="2662.66"/>
    <n v="2656.01"/>
    <n v="2775"/>
    <n v="0.95712072072072085"/>
  </r>
  <r>
    <x v="2"/>
    <x v="1"/>
    <x v="3"/>
    <n v="1.52"/>
    <n v="1.52"/>
    <n v="1.52"/>
    <n v="1.56"/>
    <n v="1680"/>
    <n v="1766"/>
    <n v="1763"/>
    <n v="1756"/>
    <n v="2679.76"/>
    <n v="2739.36"/>
    <n v="2679.76"/>
    <n v="2739.36"/>
    <n v="2709.5600000000004"/>
    <n v="2775"/>
    <n v="0.9764180180180182"/>
  </r>
  <r>
    <x v="2"/>
    <x v="1"/>
    <x v="4"/>
    <n v="1.53"/>
    <n v="1.52"/>
    <n v="1.52"/>
    <n v="1.54"/>
    <n v="1699"/>
    <n v="1785"/>
    <n v="1788"/>
    <n v="1763"/>
    <n v="2717.76"/>
    <n v="2715.02"/>
    <n v="2717.76"/>
    <n v="2715.02"/>
    <n v="2716.3900000000003"/>
    <n v="2775"/>
    <n v="0.97887927927927942"/>
  </r>
  <r>
    <x v="2"/>
    <x v="2"/>
    <x v="0"/>
    <n v="1.53"/>
    <n v="1.52"/>
    <n v="1.52"/>
    <n v="1.55"/>
    <n v="1452"/>
    <n v="1539"/>
    <n v="1494"/>
    <n v="1488"/>
    <n v="2270.88"/>
    <n v="2306.4"/>
    <n v="2270.88"/>
    <n v="2306.4"/>
    <n v="2288.6400000000003"/>
    <n v="2775"/>
    <n v="0.8247351351351353"/>
  </r>
  <r>
    <x v="2"/>
    <x v="2"/>
    <x v="1"/>
    <n v="1.52"/>
    <n v="1.52"/>
    <n v="1.52"/>
    <n v="1.55"/>
    <n v="1448"/>
    <n v="1543"/>
    <n v="1500"/>
    <n v="1543"/>
    <n v="2280"/>
    <n v="2391.65"/>
    <n v="2280"/>
    <n v="2391.65"/>
    <n v="2335.8249999999998"/>
    <n v="2775"/>
    <n v="0.84173873873873872"/>
  </r>
  <r>
    <x v="2"/>
    <x v="2"/>
    <x v="2"/>
    <n v="1.53"/>
    <n v="1.52"/>
    <n v="1.52"/>
    <n v="1.55"/>
    <n v="1492"/>
    <n v="1495"/>
    <n v="1575"/>
    <n v="1582"/>
    <n v="2394"/>
    <n v="2452.1"/>
    <n v="2394"/>
    <n v="2452.1"/>
    <n v="2423.0500000000002"/>
    <n v="2775"/>
    <n v="0.87317117117117127"/>
  </r>
  <r>
    <x v="2"/>
    <x v="2"/>
    <x v="3"/>
    <n v="1.53"/>
    <n v="1.52"/>
    <n v="1.52"/>
    <n v="1.55"/>
    <n v="1505"/>
    <n v="1621"/>
    <n v="1589"/>
    <n v="1585"/>
    <n v="2415.2800000000002"/>
    <n v="2456.75"/>
    <n v="2415.2800000000002"/>
    <n v="2456.75"/>
    <n v="2436.0150000000003"/>
    <n v="2775"/>
    <n v="0.87784324324324337"/>
  </r>
  <r>
    <x v="2"/>
    <x v="2"/>
    <x v="4"/>
    <n v="1.53"/>
    <n v="1.52"/>
    <n v="1.52"/>
    <n v="1.56"/>
    <n v="1524"/>
    <n v="1576"/>
    <n v="1565"/>
    <n v="1581"/>
    <n v="2378.8000000000002"/>
    <n v="2466.36"/>
    <n v="2378.8000000000002"/>
    <n v="2466.36"/>
    <n v="2422.58"/>
    <n v="2776"/>
    <n v="0.872687319884726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502C09-B720-428A-83B7-A9A12C42FB92}" name="PivotTable2" cacheId="5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4:E24" firstHeaderRow="1" firstDataRow="2" firstDataCol="1"/>
  <pivotFields count="18">
    <pivotField axis="axisCol" multipleItemSelectionAllowed="1" showAll="0">
      <items count="4">
        <item x="1"/>
        <item x="0"/>
        <item x="2"/>
        <item t="default"/>
      </items>
    </pivotField>
    <pivotField axis="axisRow" multipleItemSelectionAllowed="1" showAll="0">
      <items count="5">
        <item x="2"/>
        <item x="1"/>
        <item m="1" x="3"/>
        <item x="0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2"/>
  </rowFields>
  <rowItems count="19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Average of EAverage" fld="15" subtotal="average" baseField="2" baseItem="0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3"/>
          </reference>
        </references>
      </pivotArea>
    </chartFormat>
    <chartFormat chart="0" format="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2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2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1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1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3"/>
          </reference>
        </references>
      </pivotArea>
    </chartFormat>
    <chartFormat chart="0" format="1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1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  <chartFormat chart="0" format="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EEB48-B887-44F3-94A0-2D676FF4F0FD}">
  <sheetPr codeName="Sheet1"/>
  <dimension ref="A2:A7"/>
  <sheetViews>
    <sheetView workbookViewId="0">
      <selection activeCell="A8" sqref="A8"/>
    </sheetView>
  </sheetViews>
  <sheetFormatPr defaultRowHeight="15" x14ac:dyDescent="0.25"/>
  <cols>
    <col min="1" max="1" width="12.140625" bestFit="1" customWidth="1"/>
    <col min="3" max="3" width="15.42578125" bestFit="1" customWidth="1"/>
    <col min="4" max="4" width="22.28515625" bestFit="1" customWidth="1"/>
    <col min="5" max="5" width="15.140625" bestFit="1" customWidth="1"/>
    <col min="6" max="6" width="15.140625" customWidth="1"/>
    <col min="7" max="7" width="22.85546875" bestFit="1" customWidth="1"/>
  </cols>
  <sheetData>
    <row r="2" spans="1:1" x14ac:dyDescent="0.25">
      <c r="A2" s="1">
        <v>44668</v>
      </c>
    </row>
    <row r="3" spans="1:1" x14ac:dyDescent="0.25">
      <c r="A3" t="s">
        <v>28</v>
      </c>
    </row>
    <row r="5" spans="1:1" x14ac:dyDescent="0.25">
      <c r="A5" t="s">
        <v>29</v>
      </c>
    </row>
    <row r="7" spans="1:1" x14ac:dyDescent="0.25">
      <c r="A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93A9-2219-48A9-A8C8-C4AB17EA4291}">
  <sheetPr codeName="Sheet9"/>
  <dimension ref="A1:R47"/>
  <sheetViews>
    <sheetView topLeftCell="C20" workbookViewId="0">
      <selection activeCell="L37" sqref="L37"/>
    </sheetView>
  </sheetViews>
  <sheetFormatPr defaultRowHeight="15" x14ac:dyDescent="0.25"/>
  <cols>
    <col min="1" max="1" width="14.28515625" customWidth="1"/>
    <col min="2" max="2" width="16.5703125" customWidth="1"/>
    <col min="3" max="3" width="18.85546875" customWidth="1"/>
  </cols>
  <sheetData>
    <row r="1" spans="1:18" x14ac:dyDescent="0.25">
      <c r="D1" s="6" t="s">
        <v>2</v>
      </c>
      <c r="E1" s="6"/>
      <c r="F1" s="6"/>
      <c r="G1" s="6"/>
      <c r="H1" s="6" t="s">
        <v>1</v>
      </c>
      <c r="I1" s="6"/>
      <c r="J1" s="6"/>
      <c r="K1" s="6"/>
      <c r="L1" s="6" t="s">
        <v>6</v>
      </c>
      <c r="M1" s="6"/>
      <c r="N1" s="6"/>
      <c r="O1" s="6"/>
      <c r="P1" s="6"/>
    </row>
    <row r="2" spans="1:18" x14ac:dyDescent="0.25">
      <c r="A2" t="s">
        <v>3</v>
      </c>
      <c r="B2" t="s">
        <v>0</v>
      </c>
      <c r="C2" t="s">
        <v>4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8</v>
      </c>
    </row>
    <row r="3" spans="1:18" x14ac:dyDescent="0.25">
      <c r="A3" t="s">
        <v>5</v>
      </c>
      <c r="B3">
        <v>68</v>
      </c>
      <c r="C3">
        <v>100</v>
      </c>
      <c r="D3">
        <v>1.6</v>
      </c>
      <c r="E3">
        <v>1.6</v>
      </c>
      <c r="F3">
        <v>1.6</v>
      </c>
      <c r="G3">
        <v>1.6</v>
      </c>
      <c r="H3">
        <v>1654</v>
      </c>
      <c r="I3">
        <v>1633</v>
      </c>
      <c r="J3">
        <v>1625</v>
      </c>
      <c r="K3">
        <v>1595</v>
      </c>
      <c r="L3">
        <f t="shared" ref="L3:L12" si="0">D3*H3</f>
        <v>2646.4</v>
      </c>
      <c r="M3">
        <f t="shared" ref="M3" si="1">E3*I3</f>
        <v>2612.8000000000002</v>
      </c>
      <c r="N3">
        <f t="shared" ref="N3" si="2">F3*J3</f>
        <v>2600</v>
      </c>
      <c r="O3">
        <f t="shared" ref="O3" si="3">G3*K3</f>
        <v>2552</v>
      </c>
      <c r="P3">
        <f t="shared" ref="P3:P12" si="4">AVERAGE(L3:O3)</f>
        <v>2602.8000000000002</v>
      </c>
      <c r="Q3">
        <v>3000</v>
      </c>
      <c r="R3">
        <f t="shared" ref="R3:R17" si="5">P3/Q3</f>
        <v>0.86760000000000004</v>
      </c>
    </row>
    <row r="4" spans="1:18" x14ac:dyDescent="0.25">
      <c r="A4" t="s">
        <v>5</v>
      </c>
      <c r="B4">
        <v>68</v>
      </c>
      <c r="C4">
        <v>200</v>
      </c>
      <c r="D4">
        <v>1.58</v>
      </c>
      <c r="E4">
        <v>1.61</v>
      </c>
      <c r="F4">
        <v>1.58</v>
      </c>
      <c r="G4">
        <v>1.61</v>
      </c>
      <c r="H4">
        <v>1677</v>
      </c>
      <c r="I4">
        <v>1671</v>
      </c>
      <c r="J4">
        <v>1663</v>
      </c>
      <c r="K4">
        <v>1652</v>
      </c>
      <c r="L4">
        <f t="shared" si="0"/>
        <v>2649.6600000000003</v>
      </c>
      <c r="M4">
        <f t="shared" ref="M4:O4" si="6">E4*I4</f>
        <v>2690.31</v>
      </c>
      <c r="N4">
        <f t="shared" si="6"/>
        <v>2627.54</v>
      </c>
      <c r="O4">
        <f t="shared" si="6"/>
        <v>2659.7200000000003</v>
      </c>
      <c r="P4">
        <f t="shared" si="4"/>
        <v>2656.8074999999999</v>
      </c>
      <c r="Q4">
        <v>3000</v>
      </c>
      <c r="R4">
        <f t="shared" si="5"/>
        <v>0.88560249999999996</v>
      </c>
    </row>
    <row r="5" spans="1:18" x14ac:dyDescent="0.25">
      <c r="A5" t="s">
        <v>5</v>
      </c>
      <c r="B5">
        <v>68</v>
      </c>
      <c r="C5">
        <v>300</v>
      </c>
      <c r="D5">
        <v>1.58</v>
      </c>
      <c r="E5">
        <v>1.59</v>
      </c>
      <c r="F5">
        <v>1.59</v>
      </c>
      <c r="G5">
        <v>1.59</v>
      </c>
      <c r="H5">
        <v>1698</v>
      </c>
      <c r="I5">
        <v>1695</v>
      </c>
      <c r="J5">
        <v>1676</v>
      </c>
      <c r="K5">
        <v>1669</v>
      </c>
      <c r="L5">
        <f t="shared" si="0"/>
        <v>2682.84</v>
      </c>
      <c r="M5">
        <f t="shared" ref="M5" si="7">E5*I5</f>
        <v>2695.05</v>
      </c>
      <c r="N5">
        <f t="shared" ref="N5" si="8">F5*J5</f>
        <v>2664.84</v>
      </c>
      <c r="O5">
        <f t="shared" ref="O5" si="9">G5*K5</f>
        <v>2653.71</v>
      </c>
      <c r="P5">
        <f t="shared" si="4"/>
        <v>2674.11</v>
      </c>
      <c r="Q5">
        <v>3000</v>
      </c>
      <c r="R5">
        <f t="shared" si="5"/>
        <v>0.89137</v>
      </c>
    </row>
    <row r="6" spans="1:18" x14ac:dyDescent="0.25">
      <c r="A6" t="s">
        <v>5</v>
      </c>
      <c r="B6">
        <v>68</v>
      </c>
      <c r="C6">
        <v>400</v>
      </c>
      <c r="D6">
        <v>1.58</v>
      </c>
      <c r="E6">
        <v>1.61</v>
      </c>
      <c r="F6">
        <v>1.58</v>
      </c>
      <c r="G6">
        <v>1.59</v>
      </c>
      <c r="H6">
        <v>1709</v>
      </c>
      <c r="I6">
        <v>1715</v>
      </c>
      <c r="J6">
        <v>1691</v>
      </c>
      <c r="K6">
        <v>1680</v>
      </c>
      <c r="L6">
        <f t="shared" si="0"/>
        <v>2700.2200000000003</v>
      </c>
      <c r="M6">
        <f t="shared" ref="M6:M12" si="10">E6*I6</f>
        <v>2761.15</v>
      </c>
      <c r="N6">
        <f t="shared" ref="N6:N12" si="11">F6*J6</f>
        <v>2671.78</v>
      </c>
      <c r="O6">
        <f t="shared" ref="O6:O12" si="12">G6*K6</f>
        <v>2671.2000000000003</v>
      </c>
      <c r="P6">
        <f t="shared" si="4"/>
        <v>2701.0875000000005</v>
      </c>
      <c r="Q6">
        <v>3000</v>
      </c>
      <c r="R6">
        <f t="shared" si="5"/>
        <v>0.90036250000000018</v>
      </c>
    </row>
    <row r="7" spans="1:18" x14ac:dyDescent="0.25">
      <c r="A7" t="s">
        <v>5</v>
      </c>
      <c r="B7">
        <v>68</v>
      </c>
      <c r="C7">
        <v>500</v>
      </c>
      <c r="D7">
        <v>1.59</v>
      </c>
      <c r="E7">
        <v>1.59</v>
      </c>
      <c r="F7">
        <v>1.58</v>
      </c>
      <c r="G7">
        <v>1.6</v>
      </c>
      <c r="H7">
        <v>1735</v>
      </c>
      <c r="I7">
        <v>1733</v>
      </c>
      <c r="J7">
        <v>1730</v>
      </c>
      <c r="K7">
        <v>1707</v>
      </c>
      <c r="L7">
        <f t="shared" si="0"/>
        <v>2758.65</v>
      </c>
      <c r="M7">
        <f t="shared" si="10"/>
        <v>2755.4700000000003</v>
      </c>
      <c r="N7">
        <f t="shared" si="11"/>
        <v>2733.4</v>
      </c>
      <c r="O7">
        <f t="shared" si="12"/>
        <v>2731.2000000000003</v>
      </c>
      <c r="P7">
        <f t="shared" si="4"/>
        <v>2744.6800000000003</v>
      </c>
      <c r="Q7">
        <v>3000</v>
      </c>
      <c r="R7">
        <f t="shared" si="5"/>
        <v>0.91489333333333345</v>
      </c>
    </row>
    <row r="8" spans="1:18" x14ac:dyDescent="0.25">
      <c r="A8" t="s">
        <v>5</v>
      </c>
      <c r="B8">
        <v>40</v>
      </c>
      <c r="C8">
        <v>100</v>
      </c>
      <c r="D8">
        <v>1.6</v>
      </c>
      <c r="E8">
        <v>1.6</v>
      </c>
      <c r="F8">
        <v>1.6</v>
      </c>
      <c r="G8">
        <v>1.6</v>
      </c>
      <c r="H8">
        <v>1640</v>
      </c>
      <c r="I8">
        <v>1617</v>
      </c>
      <c r="J8">
        <v>1606</v>
      </c>
      <c r="K8">
        <v>1583</v>
      </c>
      <c r="L8">
        <f t="shared" si="0"/>
        <v>2624</v>
      </c>
      <c r="M8">
        <f t="shared" si="10"/>
        <v>2587.2000000000003</v>
      </c>
      <c r="N8">
        <f t="shared" si="11"/>
        <v>2569.6000000000004</v>
      </c>
      <c r="O8">
        <f t="shared" si="12"/>
        <v>2532.8000000000002</v>
      </c>
      <c r="P8">
        <f t="shared" si="4"/>
        <v>2578.4000000000005</v>
      </c>
      <c r="Q8">
        <v>3000</v>
      </c>
      <c r="R8">
        <f t="shared" si="5"/>
        <v>0.85946666666666682</v>
      </c>
    </row>
    <row r="9" spans="1:18" x14ac:dyDescent="0.25">
      <c r="A9" t="s">
        <v>5</v>
      </c>
      <c r="B9">
        <v>40</v>
      </c>
      <c r="C9">
        <v>200</v>
      </c>
      <c r="D9">
        <v>1.57</v>
      </c>
      <c r="E9">
        <v>1.58</v>
      </c>
      <c r="F9">
        <v>1.59</v>
      </c>
      <c r="G9">
        <v>1.58</v>
      </c>
      <c r="H9">
        <v>1637</v>
      </c>
      <c r="I9">
        <v>1656</v>
      </c>
      <c r="J9">
        <v>1626</v>
      </c>
      <c r="K9">
        <v>1635</v>
      </c>
      <c r="L9">
        <f t="shared" si="0"/>
        <v>2570.09</v>
      </c>
      <c r="M9">
        <f t="shared" si="10"/>
        <v>2616.48</v>
      </c>
      <c r="N9">
        <f t="shared" si="11"/>
        <v>2585.34</v>
      </c>
      <c r="O9">
        <f t="shared" si="12"/>
        <v>2583.3000000000002</v>
      </c>
      <c r="P9">
        <f t="shared" si="4"/>
        <v>2588.8024999999998</v>
      </c>
      <c r="Q9">
        <v>3000</v>
      </c>
      <c r="R9">
        <f t="shared" si="5"/>
        <v>0.86293416666666656</v>
      </c>
    </row>
    <row r="10" spans="1:18" x14ac:dyDescent="0.25">
      <c r="A10" t="s">
        <v>5</v>
      </c>
      <c r="B10">
        <v>40</v>
      </c>
      <c r="C10">
        <v>300</v>
      </c>
      <c r="D10">
        <v>1.57</v>
      </c>
      <c r="E10">
        <v>1.6</v>
      </c>
      <c r="F10">
        <v>1.58</v>
      </c>
      <c r="G10">
        <v>1.59</v>
      </c>
      <c r="H10">
        <v>1665</v>
      </c>
      <c r="I10">
        <v>1671</v>
      </c>
      <c r="J10">
        <v>1665</v>
      </c>
      <c r="K10">
        <v>1647</v>
      </c>
      <c r="L10">
        <f t="shared" si="0"/>
        <v>2614.0500000000002</v>
      </c>
      <c r="M10">
        <f t="shared" si="10"/>
        <v>2673.6000000000004</v>
      </c>
      <c r="N10">
        <f t="shared" si="11"/>
        <v>2630.7000000000003</v>
      </c>
      <c r="O10">
        <f t="shared" si="12"/>
        <v>2618.73</v>
      </c>
      <c r="P10">
        <f t="shared" si="4"/>
        <v>2634.27</v>
      </c>
      <c r="Q10">
        <v>3000</v>
      </c>
      <c r="R10">
        <f t="shared" si="5"/>
        <v>0.87809000000000004</v>
      </c>
    </row>
    <row r="11" spans="1:18" x14ac:dyDescent="0.25">
      <c r="A11" t="s">
        <v>5</v>
      </c>
      <c r="B11">
        <v>40</v>
      </c>
      <c r="C11">
        <v>400</v>
      </c>
      <c r="D11">
        <v>1.6</v>
      </c>
      <c r="E11">
        <v>1.6</v>
      </c>
      <c r="F11">
        <v>1.6</v>
      </c>
      <c r="G11">
        <v>1.6</v>
      </c>
      <c r="H11">
        <v>1670</v>
      </c>
      <c r="I11">
        <v>1672</v>
      </c>
      <c r="J11">
        <v>1663</v>
      </c>
      <c r="K11">
        <v>1661</v>
      </c>
      <c r="L11">
        <f t="shared" si="0"/>
        <v>2672</v>
      </c>
      <c r="M11">
        <f t="shared" si="10"/>
        <v>2675.2000000000003</v>
      </c>
      <c r="N11">
        <f t="shared" si="11"/>
        <v>2660.8</v>
      </c>
      <c r="O11">
        <f t="shared" si="12"/>
        <v>2657.6000000000004</v>
      </c>
      <c r="P11">
        <f t="shared" si="4"/>
        <v>2666.4000000000005</v>
      </c>
      <c r="Q11">
        <v>3000</v>
      </c>
      <c r="R11">
        <f t="shared" si="5"/>
        <v>0.88880000000000015</v>
      </c>
    </row>
    <row r="12" spans="1:18" x14ac:dyDescent="0.25">
      <c r="A12" t="s">
        <v>5</v>
      </c>
      <c r="B12">
        <v>40</v>
      </c>
      <c r="C12">
        <v>500</v>
      </c>
      <c r="D12">
        <v>1.6</v>
      </c>
      <c r="E12">
        <v>1.6</v>
      </c>
      <c r="F12">
        <v>1.6</v>
      </c>
      <c r="G12">
        <v>1.6</v>
      </c>
      <c r="H12">
        <v>1675</v>
      </c>
      <c r="I12">
        <v>1713</v>
      </c>
      <c r="J12">
        <v>1682</v>
      </c>
      <c r="K12">
        <v>1690</v>
      </c>
      <c r="L12">
        <f t="shared" si="0"/>
        <v>2680</v>
      </c>
      <c r="M12">
        <f t="shared" si="10"/>
        <v>2740.8</v>
      </c>
      <c r="N12">
        <f t="shared" si="11"/>
        <v>2691.2000000000003</v>
      </c>
      <c r="O12">
        <f t="shared" si="12"/>
        <v>2704</v>
      </c>
      <c r="P12">
        <f t="shared" si="4"/>
        <v>2704</v>
      </c>
      <c r="Q12">
        <v>3000</v>
      </c>
      <c r="R12">
        <f t="shared" si="5"/>
        <v>0.90133333333333332</v>
      </c>
    </row>
    <row r="13" spans="1:18" x14ac:dyDescent="0.25">
      <c r="A13" t="s">
        <v>5</v>
      </c>
      <c r="B13">
        <v>0</v>
      </c>
      <c r="C13">
        <v>100</v>
      </c>
      <c r="D13">
        <v>1.6</v>
      </c>
      <c r="E13">
        <v>1.6</v>
      </c>
      <c r="F13">
        <v>1.6</v>
      </c>
      <c r="G13">
        <v>1.6</v>
      </c>
      <c r="H13">
        <v>1416</v>
      </c>
      <c r="I13">
        <v>1433</v>
      </c>
      <c r="J13">
        <v>1401</v>
      </c>
      <c r="K13">
        <v>1426</v>
      </c>
      <c r="L13">
        <f t="shared" ref="L13:L17" si="13">D13*H13</f>
        <v>2265.6</v>
      </c>
      <c r="M13">
        <f t="shared" ref="M13:M17" si="14">E13*I13</f>
        <v>2292.8000000000002</v>
      </c>
      <c r="N13">
        <f t="shared" ref="N13:N17" si="15">F13*J13</f>
        <v>2241.6</v>
      </c>
      <c r="O13">
        <f t="shared" ref="O13:O17" si="16">G13*K13</f>
        <v>2281.6</v>
      </c>
      <c r="P13">
        <f t="shared" ref="P13:P17" si="17">AVERAGE(L13:O13)</f>
        <v>2270.4</v>
      </c>
      <c r="Q13">
        <v>3000</v>
      </c>
      <c r="R13">
        <f t="shared" si="5"/>
        <v>0.75680000000000003</v>
      </c>
    </row>
    <row r="14" spans="1:18" x14ac:dyDescent="0.25">
      <c r="A14" t="s">
        <v>5</v>
      </c>
      <c r="B14">
        <v>0</v>
      </c>
      <c r="C14">
        <v>200</v>
      </c>
      <c r="D14">
        <v>1.6</v>
      </c>
      <c r="E14">
        <v>1.6</v>
      </c>
      <c r="F14">
        <v>1.6</v>
      </c>
      <c r="G14">
        <v>1.6</v>
      </c>
      <c r="H14">
        <v>1485</v>
      </c>
      <c r="I14">
        <v>1489</v>
      </c>
      <c r="J14">
        <v>1486</v>
      </c>
      <c r="K14">
        <v>1447</v>
      </c>
      <c r="L14">
        <f t="shared" si="13"/>
        <v>2376</v>
      </c>
      <c r="M14">
        <f t="shared" si="14"/>
        <v>2382.4</v>
      </c>
      <c r="N14">
        <f t="shared" si="15"/>
        <v>2377.6</v>
      </c>
      <c r="O14">
        <f t="shared" si="16"/>
        <v>2315.2000000000003</v>
      </c>
      <c r="P14">
        <f t="shared" si="17"/>
        <v>2362.8000000000002</v>
      </c>
      <c r="Q14">
        <v>3000</v>
      </c>
      <c r="R14">
        <f t="shared" si="5"/>
        <v>0.78760000000000008</v>
      </c>
    </row>
    <row r="15" spans="1:18" x14ac:dyDescent="0.25">
      <c r="A15" t="s">
        <v>5</v>
      </c>
      <c r="B15">
        <v>0</v>
      </c>
      <c r="C15">
        <v>300</v>
      </c>
      <c r="D15">
        <v>1.6</v>
      </c>
      <c r="E15">
        <v>1.6</v>
      </c>
      <c r="F15">
        <v>1.6</v>
      </c>
      <c r="G15">
        <v>1.6</v>
      </c>
      <c r="H15">
        <v>1502</v>
      </c>
      <c r="I15">
        <v>1498</v>
      </c>
      <c r="J15">
        <v>1528</v>
      </c>
      <c r="K15">
        <v>1473</v>
      </c>
      <c r="L15">
        <f t="shared" si="13"/>
        <v>2403.2000000000003</v>
      </c>
      <c r="M15">
        <f t="shared" si="14"/>
        <v>2396.8000000000002</v>
      </c>
      <c r="N15">
        <f t="shared" si="15"/>
        <v>2444.8000000000002</v>
      </c>
      <c r="O15">
        <f t="shared" si="16"/>
        <v>2356.8000000000002</v>
      </c>
      <c r="P15">
        <f t="shared" si="17"/>
        <v>2400.4</v>
      </c>
      <c r="Q15">
        <v>3000</v>
      </c>
      <c r="R15">
        <f t="shared" si="5"/>
        <v>0.80013333333333336</v>
      </c>
    </row>
    <row r="16" spans="1:18" x14ac:dyDescent="0.25">
      <c r="A16" t="s">
        <v>5</v>
      </c>
      <c r="B16">
        <v>0</v>
      </c>
      <c r="C16">
        <v>400</v>
      </c>
      <c r="D16">
        <v>1.6</v>
      </c>
      <c r="E16">
        <v>1.6</v>
      </c>
      <c r="F16">
        <v>1.6</v>
      </c>
      <c r="G16">
        <v>1.6</v>
      </c>
      <c r="H16">
        <v>1500</v>
      </c>
      <c r="I16">
        <v>1495</v>
      </c>
      <c r="J16">
        <v>1532</v>
      </c>
      <c r="K16">
        <v>1491</v>
      </c>
      <c r="L16">
        <f t="shared" si="13"/>
        <v>2400</v>
      </c>
      <c r="M16">
        <f t="shared" si="14"/>
        <v>2392</v>
      </c>
      <c r="N16">
        <f t="shared" si="15"/>
        <v>2451.2000000000003</v>
      </c>
      <c r="O16">
        <f t="shared" si="16"/>
        <v>2385.6</v>
      </c>
      <c r="P16">
        <f t="shared" si="17"/>
        <v>2407.2000000000003</v>
      </c>
      <c r="Q16">
        <v>3000</v>
      </c>
      <c r="R16">
        <f t="shared" si="5"/>
        <v>0.80240000000000011</v>
      </c>
    </row>
    <row r="17" spans="1:18" x14ac:dyDescent="0.25">
      <c r="A17" t="s">
        <v>5</v>
      </c>
      <c r="B17">
        <v>0</v>
      </c>
      <c r="C17">
        <v>500</v>
      </c>
      <c r="D17">
        <v>1.6</v>
      </c>
      <c r="E17">
        <v>1.6</v>
      </c>
      <c r="F17">
        <v>1.6</v>
      </c>
      <c r="G17">
        <v>1.6</v>
      </c>
      <c r="H17">
        <v>1502</v>
      </c>
      <c r="I17">
        <v>1502</v>
      </c>
      <c r="J17">
        <v>1538</v>
      </c>
      <c r="K17">
        <v>1481</v>
      </c>
      <c r="L17">
        <f t="shared" si="13"/>
        <v>2403.2000000000003</v>
      </c>
      <c r="M17">
        <f t="shared" si="14"/>
        <v>2403.2000000000003</v>
      </c>
      <c r="N17">
        <f t="shared" si="15"/>
        <v>2460.8000000000002</v>
      </c>
      <c r="O17">
        <f t="shared" si="16"/>
        <v>2369.6</v>
      </c>
      <c r="P17">
        <f t="shared" si="17"/>
        <v>2409.2000000000003</v>
      </c>
      <c r="Q17">
        <v>3000</v>
      </c>
      <c r="R17">
        <f t="shared" si="5"/>
        <v>0.80306666666666671</v>
      </c>
    </row>
    <row r="18" spans="1:18" x14ac:dyDescent="0.25">
      <c r="A18" t="s">
        <v>7</v>
      </c>
      <c r="B18">
        <v>68</v>
      </c>
      <c r="C18">
        <v>100</v>
      </c>
      <c r="D18">
        <v>1.52</v>
      </c>
      <c r="E18">
        <v>1.52</v>
      </c>
      <c r="F18">
        <v>1.52</v>
      </c>
      <c r="G18">
        <v>1.51</v>
      </c>
      <c r="H18">
        <v>1816</v>
      </c>
      <c r="I18">
        <v>1759</v>
      </c>
      <c r="J18">
        <v>1778</v>
      </c>
      <c r="K18">
        <v>1737</v>
      </c>
      <c r="L18">
        <f t="shared" ref="L18:L23" si="18">D18*H18</f>
        <v>2760.32</v>
      </c>
      <c r="M18">
        <f t="shared" ref="M18" si="19">E18*I18</f>
        <v>2673.68</v>
      </c>
      <c r="N18">
        <f t="shared" ref="N18" si="20">F18*J18</f>
        <v>2702.56</v>
      </c>
      <c r="O18">
        <f t="shared" ref="O18" si="21">G18*K18</f>
        <v>2622.87</v>
      </c>
      <c r="P18">
        <f t="shared" ref="P18:P23" si="22">AVERAGE(L18:O18)</f>
        <v>2689.8575000000001</v>
      </c>
      <c r="Q18">
        <v>3300</v>
      </c>
      <c r="R18">
        <f t="shared" ref="R18:R23" si="23">P18/Q18</f>
        <v>0.81510833333333332</v>
      </c>
    </row>
    <row r="19" spans="1:18" x14ac:dyDescent="0.25">
      <c r="A19" t="s">
        <v>7</v>
      </c>
      <c r="B19">
        <v>68</v>
      </c>
      <c r="C19">
        <v>200</v>
      </c>
      <c r="D19">
        <v>1.59</v>
      </c>
      <c r="E19">
        <v>1.52</v>
      </c>
      <c r="F19">
        <v>1.52</v>
      </c>
      <c r="G19">
        <v>1.52</v>
      </c>
      <c r="H19">
        <v>1793</v>
      </c>
      <c r="I19">
        <v>1837</v>
      </c>
      <c r="J19">
        <v>1818</v>
      </c>
      <c r="K19">
        <v>1801</v>
      </c>
      <c r="L19">
        <f t="shared" si="18"/>
        <v>2850.8700000000003</v>
      </c>
      <c r="M19">
        <f t="shared" ref="M19" si="24">E19*I19</f>
        <v>2792.2400000000002</v>
      </c>
      <c r="N19">
        <f t="shared" ref="N19" si="25">F19*J19</f>
        <v>2763.36</v>
      </c>
      <c r="O19">
        <f t="shared" ref="O19" si="26">G19*K19</f>
        <v>2737.52</v>
      </c>
      <c r="P19">
        <f t="shared" si="22"/>
        <v>2785.9975000000004</v>
      </c>
      <c r="Q19">
        <v>3300</v>
      </c>
      <c r="R19">
        <f t="shared" si="23"/>
        <v>0.84424166666666678</v>
      </c>
    </row>
    <row r="20" spans="1:18" x14ac:dyDescent="0.25">
      <c r="A20" t="s">
        <v>7</v>
      </c>
      <c r="B20">
        <v>68</v>
      </c>
      <c r="C20">
        <v>300</v>
      </c>
      <c r="D20">
        <v>1.53</v>
      </c>
      <c r="E20">
        <v>1.53</v>
      </c>
      <c r="F20">
        <v>1.52</v>
      </c>
      <c r="G20">
        <v>1.51</v>
      </c>
      <c r="H20">
        <v>1784</v>
      </c>
      <c r="I20">
        <v>1831</v>
      </c>
      <c r="J20">
        <v>1821</v>
      </c>
      <c r="K20">
        <v>1810</v>
      </c>
      <c r="L20">
        <f t="shared" si="18"/>
        <v>2729.52</v>
      </c>
      <c r="M20">
        <f t="shared" ref="M20" si="27">E20*I20</f>
        <v>2801.43</v>
      </c>
      <c r="N20">
        <f t="shared" ref="N20" si="28">F20*J20</f>
        <v>2767.92</v>
      </c>
      <c r="O20">
        <f t="shared" ref="O20" si="29">G20*K20</f>
        <v>2733.1</v>
      </c>
      <c r="P20">
        <f t="shared" si="22"/>
        <v>2757.9924999999998</v>
      </c>
      <c r="Q20">
        <v>3300</v>
      </c>
      <c r="R20">
        <f t="shared" si="23"/>
        <v>0.83575530303030299</v>
      </c>
    </row>
    <row r="21" spans="1:18" x14ac:dyDescent="0.25">
      <c r="A21" t="s">
        <v>7</v>
      </c>
      <c r="B21">
        <v>68</v>
      </c>
      <c r="C21">
        <v>400</v>
      </c>
      <c r="D21">
        <v>1.53</v>
      </c>
      <c r="E21">
        <v>1.52</v>
      </c>
      <c r="F21">
        <v>1.52</v>
      </c>
      <c r="G21">
        <v>1.51</v>
      </c>
      <c r="H21">
        <v>1812</v>
      </c>
      <c r="I21">
        <v>1855</v>
      </c>
      <c r="J21">
        <v>1877</v>
      </c>
      <c r="K21">
        <v>1848</v>
      </c>
      <c r="L21">
        <f t="shared" si="18"/>
        <v>2772.36</v>
      </c>
      <c r="M21">
        <f t="shared" ref="M21:M23" si="30">E21*I21</f>
        <v>2819.6</v>
      </c>
      <c r="N21">
        <f t="shared" ref="N21:N23" si="31">F21*J21</f>
        <v>2853.04</v>
      </c>
      <c r="O21">
        <f t="shared" ref="O21:O23" si="32">G21*K21</f>
        <v>2790.48</v>
      </c>
      <c r="P21">
        <f t="shared" si="22"/>
        <v>2808.87</v>
      </c>
      <c r="Q21">
        <v>3300</v>
      </c>
      <c r="R21">
        <f t="shared" si="23"/>
        <v>0.85117272727272719</v>
      </c>
    </row>
    <row r="22" spans="1:18" x14ac:dyDescent="0.25">
      <c r="A22" t="s">
        <v>7</v>
      </c>
      <c r="B22">
        <v>68</v>
      </c>
      <c r="C22">
        <v>500</v>
      </c>
      <c r="D22">
        <v>1.53</v>
      </c>
      <c r="E22">
        <v>1.52</v>
      </c>
      <c r="F22">
        <v>1.52</v>
      </c>
      <c r="G22">
        <v>1.51</v>
      </c>
      <c r="H22">
        <v>1819</v>
      </c>
      <c r="I22">
        <v>1874</v>
      </c>
      <c r="J22">
        <v>1864</v>
      </c>
      <c r="K22">
        <v>1848</v>
      </c>
      <c r="L22">
        <f t="shared" si="18"/>
        <v>2783.07</v>
      </c>
      <c r="M22">
        <f t="shared" si="30"/>
        <v>2848.48</v>
      </c>
      <c r="N22">
        <f t="shared" si="31"/>
        <v>2833.28</v>
      </c>
      <c r="O22">
        <f t="shared" si="32"/>
        <v>2790.48</v>
      </c>
      <c r="P22">
        <f t="shared" si="22"/>
        <v>2813.8274999999999</v>
      </c>
      <c r="Q22">
        <v>3300</v>
      </c>
      <c r="R22">
        <f t="shared" si="23"/>
        <v>0.85267499999999996</v>
      </c>
    </row>
    <row r="23" spans="1:18" x14ac:dyDescent="0.25">
      <c r="A23" t="s">
        <v>7</v>
      </c>
      <c r="B23">
        <v>40</v>
      </c>
      <c r="C23">
        <v>100</v>
      </c>
      <c r="D23">
        <v>1.52</v>
      </c>
      <c r="E23">
        <v>1.52</v>
      </c>
      <c r="F23">
        <v>1.53</v>
      </c>
      <c r="G23">
        <v>1.51</v>
      </c>
      <c r="H23">
        <v>1671</v>
      </c>
      <c r="I23">
        <v>1723</v>
      </c>
      <c r="J23">
        <v>1706</v>
      </c>
      <c r="K23">
        <v>1682</v>
      </c>
      <c r="L23">
        <f t="shared" si="18"/>
        <v>2539.92</v>
      </c>
      <c r="M23">
        <f t="shared" si="30"/>
        <v>2618.96</v>
      </c>
      <c r="N23">
        <f t="shared" si="31"/>
        <v>2610.1799999999998</v>
      </c>
      <c r="O23">
        <f t="shared" si="32"/>
        <v>2539.8200000000002</v>
      </c>
      <c r="P23">
        <f t="shared" si="22"/>
        <v>2577.2199999999998</v>
      </c>
      <c r="Q23">
        <v>3300</v>
      </c>
      <c r="R23">
        <f t="shared" si="23"/>
        <v>0.78097575757575755</v>
      </c>
    </row>
    <row r="24" spans="1:18" x14ac:dyDescent="0.25">
      <c r="A24" t="s">
        <v>7</v>
      </c>
      <c r="B24">
        <v>40</v>
      </c>
      <c r="C24">
        <v>200</v>
      </c>
      <c r="D24">
        <v>1.58</v>
      </c>
      <c r="E24">
        <v>1.53</v>
      </c>
      <c r="F24">
        <v>1.52</v>
      </c>
      <c r="G24">
        <v>1.51</v>
      </c>
      <c r="H24">
        <v>1649</v>
      </c>
      <c r="I24">
        <v>1759</v>
      </c>
      <c r="J24">
        <v>1746</v>
      </c>
      <c r="K24">
        <v>1736</v>
      </c>
      <c r="L24">
        <f>F24*J24</f>
        <v>2653.92</v>
      </c>
      <c r="M24">
        <f>G24*K24</f>
        <v>2621.36</v>
      </c>
      <c r="N24">
        <f t="shared" ref="N24:N37" si="33">F24*J24</f>
        <v>2653.92</v>
      </c>
      <c r="O24">
        <f t="shared" ref="O24:O37" si="34">G24*K24</f>
        <v>2621.36</v>
      </c>
      <c r="P24">
        <f t="shared" ref="P24:P37" si="35">AVERAGE(L24:O24)</f>
        <v>2637.6400000000003</v>
      </c>
      <c r="Q24">
        <v>3300</v>
      </c>
      <c r="R24">
        <f t="shared" ref="R24:R32" si="36">P24/Q24</f>
        <v>0.7992848484848486</v>
      </c>
    </row>
    <row r="25" spans="1:18" x14ac:dyDescent="0.25">
      <c r="A25" t="s">
        <v>7</v>
      </c>
      <c r="B25">
        <v>40</v>
      </c>
      <c r="C25">
        <v>300</v>
      </c>
      <c r="D25">
        <v>1.52</v>
      </c>
      <c r="E25">
        <v>1.52</v>
      </c>
      <c r="F25">
        <v>1.52</v>
      </c>
      <c r="G25">
        <v>1.51</v>
      </c>
      <c r="H25">
        <v>1714</v>
      </c>
      <c r="I25">
        <v>1776</v>
      </c>
      <c r="J25">
        <v>1763</v>
      </c>
      <c r="K25">
        <v>1722</v>
      </c>
      <c r="L25">
        <f>F25*J25</f>
        <v>2679.76</v>
      </c>
      <c r="M25">
        <f>G25*K25</f>
        <v>2600.2199999999998</v>
      </c>
      <c r="N25">
        <f t="shared" si="33"/>
        <v>2679.76</v>
      </c>
      <c r="O25">
        <f t="shared" si="34"/>
        <v>2600.2199999999998</v>
      </c>
      <c r="P25">
        <f t="shared" si="35"/>
        <v>2639.99</v>
      </c>
      <c r="Q25">
        <v>3300</v>
      </c>
      <c r="R25">
        <f t="shared" si="36"/>
        <v>0.79999696969696965</v>
      </c>
    </row>
    <row r="26" spans="1:18" x14ac:dyDescent="0.25">
      <c r="A26" t="s">
        <v>7</v>
      </c>
      <c r="B26">
        <v>40</v>
      </c>
      <c r="C26">
        <v>400</v>
      </c>
      <c r="D26">
        <v>1.58</v>
      </c>
      <c r="E26">
        <v>1.53</v>
      </c>
      <c r="F26">
        <v>1.52</v>
      </c>
      <c r="G26">
        <v>1.51</v>
      </c>
      <c r="H26">
        <v>1734</v>
      </c>
      <c r="I26">
        <v>1804</v>
      </c>
      <c r="J26">
        <v>1803</v>
      </c>
      <c r="K26">
        <v>1762</v>
      </c>
      <c r="L26">
        <f t="shared" ref="L26:L37" si="37">F26*J26</f>
        <v>2740.56</v>
      </c>
      <c r="M26">
        <f t="shared" ref="M26:M37" si="38">G26*K26</f>
        <v>2660.62</v>
      </c>
      <c r="N26">
        <f t="shared" si="33"/>
        <v>2740.56</v>
      </c>
      <c r="O26">
        <f t="shared" si="34"/>
        <v>2660.62</v>
      </c>
      <c r="P26">
        <f t="shared" si="35"/>
        <v>2700.59</v>
      </c>
      <c r="Q26">
        <v>3300</v>
      </c>
      <c r="R26">
        <f t="shared" si="36"/>
        <v>0.81836060606060612</v>
      </c>
    </row>
    <row r="27" spans="1:18" x14ac:dyDescent="0.25">
      <c r="A27" t="s">
        <v>7</v>
      </c>
      <c r="B27">
        <v>40</v>
      </c>
      <c r="C27">
        <v>500</v>
      </c>
      <c r="D27">
        <v>1.52</v>
      </c>
      <c r="E27">
        <v>1.52</v>
      </c>
      <c r="F27">
        <v>1.52</v>
      </c>
      <c r="G27">
        <v>1.51</v>
      </c>
      <c r="H27">
        <v>1752</v>
      </c>
      <c r="I27">
        <v>1827</v>
      </c>
      <c r="J27">
        <v>1824</v>
      </c>
      <c r="K27">
        <v>1798</v>
      </c>
      <c r="L27">
        <f t="shared" si="37"/>
        <v>2772.48</v>
      </c>
      <c r="M27">
        <f t="shared" si="38"/>
        <v>2714.98</v>
      </c>
      <c r="N27">
        <f t="shared" si="33"/>
        <v>2772.48</v>
      </c>
      <c r="O27">
        <f t="shared" si="34"/>
        <v>2714.98</v>
      </c>
      <c r="P27">
        <f t="shared" si="35"/>
        <v>2743.73</v>
      </c>
      <c r="Q27">
        <v>3300</v>
      </c>
      <c r="R27">
        <f t="shared" si="36"/>
        <v>0.83143333333333336</v>
      </c>
    </row>
    <row r="28" spans="1:18" x14ac:dyDescent="0.25">
      <c r="A28" t="s">
        <v>7</v>
      </c>
      <c r="B28">
        <v>0</v>
      </c>
      <c r="C28">
        <v>100</v>
      </c>
      <c r="D28">
        <v>1.58</v>
      </c>
      <c r="E28">
        <v>1.52</v>
      </c>
      <c r="F28">
        <v>1.52</v>
      </c>
      <c r="G28">
        <v>1.52</v>
      </c>
      <c r="H28">
        <v>1475</v>
      </c>
      <c r="I28">
        <v>1498</v>
      </c>
      <c r="J28">
        <v>1487</v>
      </c>
      <c r="K28">
        <v>1480</v>
      </c>
      <c r="L28">
        <f t="shared" si="37"/>
        <v>2260.2400000000002</v>
      </c>
      <c r="M28">
        <f t="shared" si="38"/>
        <v>2249.6</v>
      </c>
      <c r="N28">
        <f t="shared" si="33"/>
        <v>2260.2400000000002</v>
      </c>
      <c r="O28">
        <f t="shared" si="34"/>
        <v>2249.6</v>
      </c>
      <c r="P28">
        <f t="shared" si="35"/>
        <v>2254.92</v>
      </c>
      <c r="Q28">
        <v>3300</v>
      </c>
      <c r="R28">
        <f t="shared" si="36"/>
        <v>0.68330909090909098</v>
      </c>
    </row>
    <row r="29" spans="1:18" x14ac:dyDescent="0.25">
      <c r="A29" t="s">
        <v>7</v>
      </c>
      <c r="B29">
        <v>0</v>
      </c>
      <c r="C29">
        <v>200</v>
      </c>
      <c r="D29">
        <v>1.52</v>
      </c>
      <c r="E29">
        <v>1.52</v>
      </c>
      <c r="F29">
        <v>1.52</v>
      </c>
      <c r="G29">
        <v>1.52</v>
      </c>
      <c r="H29">
        <v>1435</v>
      </c>
      <c r="I29">
        <v>1493</v>
      </c>
      <c r="J29">
        <v>1473</v>
      </c>
      <c r="K29">
        <v>1395</v>
      </c>
      <c r="L29">
        <f t="shared" si="37"/>
        <v>2238.96</v>
      </c>
      <c r="M29">
        <f t="shared" si="38"/>
        <v>2120.4</v>
      </c>
      <c r="N29">
        <f t="shared" si="33"/>
        <v>2238.96</v>
      </c>
      <c r="O29">
        <f t="shared" si="34"/>
        <v>2120.4</v>
      </c>
      <c r="P29">
        <f t="shared" si="35"/>
        <v>2179.6800000000003</v>
      </c>
      <c r="Q29">
        <v>3300</v>
      </c>
      <c r="R29">
        <f t="shared" si="36"/>
        <v>0.66050909090909105</v>
      </c>
    </row>
    <row r="30" spans="1:18" x14ac:dyDescent="0.25">
      <c r="A30" t="s">
        <v>7</v>
      </c>
      <c r="B30">
        <v>0</v>
      </c>
      <c r="C30">
        <v>300</v>
      </c>
      <c r="D30">
        <v>1.53</v>
      </c>
      <c r="E30">
        <v>1.52</v>
      </c>
      <c r="F30">
        <v>1.52</v>
      </c>
      <c r="G30">
        <v>1.51</v>
      </c>
      <c r="H30">
        <v>1463</v>
      </c>
      <c r="I30">
        <v>1460</v>
      </c>
      <c r="J30">
        <v>1458</v>
      </c>
      <c r="K30">
        <v>1431</v>
      </c>
      <c r="L30">
        <f t="shared" si="37"/>
        <v>2216.16</v>
      </c>
      <c r="M30">
        <f t="shared" si="38"/>
        <v>2160.81</v>
      </c>
      <c r="N30">
        <f t="shared" si="33"/>
        <v>2216.16</v>
      </c>
      <c r="O30">
        <f t="shared" si="34"/>
        <v>2160.81</v>
      </c>
      <c r="P30">
        <f t="shared" si="35"/>
        <v>2188.4849999999997</v>
      </c>
      <c r="Q30">
        <v>3300</v>
      </c>
      <c r="R30">
        <f t="shared" si="36"/>
        <v>0.66317727272727267</v>
      </c>
    </row>
    <row r="31" spans="1:18" x14ac:dyDescent="0.25">
      <c r="A31" t="s">
        <v>7</v>
      </c>
      <c r="B31">
        <v>0</v>
      </c>
      <c r="C31">
        <v>400</v>
      </c>
      <c r="D31">
        <v>1.53</v>
      </c>
      <c r="E31">
        <v>1.52</v>
      </c>
      <c r="F31">
        <v>1.52</v>
      </c>
      <c r="G31">
        <v>1.52</v>
      </c>
      <c r="H31">
        <v>1460</v>
      </c>
      <c r="I31">
        <v>1580</v>
      </c>
      <c r="J31">
        <v>1518</v>
      </c>
      <c r="K31">
        <v>1485</v>
      </c>
      <c r="L31">
        <f t="shared" si="37"/>
        <v>2307.36</v>
      </c>
      <c r="M31">
        <f t="shared" si="38"/>
        <v>2257.1999999999998</v>
      </c>
      <c r="N31">
        <f t="shared" si="33"/>
        <v>2307.36</v>
      </c>
      <c r="O31">
        <f t="shared" si="34"/>
        <v>2257.1999999999998</v>
      </c>
      <c r="P31">
        <f t="shared" si="35"/>
        <v>2282.2799999999997</v>
      </c>
      <c r="Q31">
        <v>3300</v>
      </c>
      <c r="R31">
        <f t="shared" si="36"/>
        <v>0.69159999999999988</v>
      </c>
    </row>
    <row r="32" spans="1:18" x14ac:dyDescent="0.25">
      <c r="A32" t="s">
        <v>7</v>
      </c>
      <c r="B32">
        <v>0</v>
      </c>
      <c r="C32">
        <v>500</v>
      </c>
      <c r="D32">
        <v>1.53</v>
      </c>
      <c r="E32">
        <v>1.53</v>
      </c>
      <c r="F32">
        <v>1.52</v>
      </c>
      <c r="G32">
        <v>1.52</v>
      </c>
      <c r="H32">
        <v>1390</v>
      </c>
      <c r="I32">
        <v>1475</v>
      </c>
      <c r="J32">
        <v>1416</v>
      </c>
      <c r="K32">
        <v>1396</v>
      </c>
      <c r="L32">
        <f t="shared" si="37"/>
        <v>2152.3200000000002</v>
      </c>
      <c r="M32">
        <f t="shared" si="38"/>
        <v>2121.92</v>
      </c>
      <c r="N32">
        <f t="shared" si="33"/>
        <v>2152.3200000000002</v>
      </c>
      <c r="O32">
        <f t="shared" si="34"/>
        <v>2121.92</v>
      </c>
      <c r="P32">
        <f t="shared" si="35"/>
        <v>2137.12</v>
      </c>
      <c r="Q32">
        <v>3300</v>
      </c>
      <c r="R32">
        <f t="shared" si="36"/>
        <v>0.64761212121212119</v>
      </c>
    </row>
    <row r="33" spans="1:18" x14ac:dyDescent="0.25">
      <c r="A33" t="s">
        <v>9</v>
      </c>
      <c r="B33">
        <v>68</v>
      </c>
      <c r="C33">
        <v>100</v>
      </c>
      <c r="D33">
        <v>1.52</v>
      </c>
      <c r="E33">
        <v>1.52</v>
      </c>
      <c r="F33">
        <v>1.52</v>
      </c>
      <c r="G33">
        <v>1.55</v>
      </c>
      <c r="H33">
        <v>1744</v>
      </c>
      <c r="I33">
        <v>1735</v>
      </c>
      <c r="J33">
        <v>1786</v>
      </c>
      <c r="K33">
        <v>1794</v>
      </c>
      <c r="L33">
        <f t="shared" si="37"/>
        <v>2714.7200000000003</v>
      </c>
      <c r="M33">
        <f t="shared" si="38"/>
        <v>2780.7000000000003</v>
      </c>
      <c r="N33">
        <f t="shared" si="33"/>
        <v>2714.7200000000003</v>
      </c>
      <c r="O33">
        <f t="shared" si="34"/>
        <v>2780.7000000000003</v>
      </c>
      <c r="P33">
        <f t="shared" si="35"/>
        <v>2747.71</v>
      </c>
      <c r="Q33">
        <v>2775</v>
      </c>
      <c r="R33">
        <f t="shared" ref="R33:R35" si="39">P33/Q33</f>
        <v>0.99016576576576576</v>
      </c>
    </row>
    <row r="34" spans="1:18" x14ac:dyDescent="0.25">
      <c r="A34" t="s">
        <v>9</v>
      </c>
      <c r="B34">
        <v>68</v>
      </c>
      <c r="C34">
        <v>200</v>
      </c>
      <c r="D34">
        <v>1.52</v>
      </c>
      <c r="E34">
        <v>1.52</v>
      </c>
      <c r="F34">
        <v>1.52</v>
      </c>
      <c r="G34">
        <v>1.55</v>
      </c>
      <c r="H34">
        <v>1708</v>
      </c>
      <c r="I34">
        <v>1780</v>
      </c>
      <c r="J34">
        <v>1762</v>
      </c>
      <c r="K34">
        <v>1754</v>
      </c>
      <c r="L34">
        <f t="shared" si="37"/>
        <v>2678.2400000000002</v>
      </c>
      <c r="M34">
        <f t="shared" si="38"/>
        <v>2718.7000000000003</v>
      </c>
      <c r="N34">
        <f t="shared" si="33"/>
        <v>2678.2400000000002</v>
      </c>
      <c r="O34">
        <f t="shared" si="34"/>
        <v>2718.7000000000003</v>
      </c>
      <c r="P34">
        <f t="shared" si="35"/>
        <v>2698.4700000000003</v>
      </c>
      <c r="Q34">
        <v>2775</v>
      </c>
      <c r="R34">
        <f t="shared" si="39"/>
        <v>0.97242162162162171</v>
      </c>
    </row>
    <row r="35" spans="1:18" x14ac:dyDescent="0.25">
      <c r="A35" t="s">
        <v>9</v>
      </c>
      <c r="B35">
        <v>68</v>
      </c>
      <c r="C35">
        <v>300</v>
      </c>
      <c r="D35">
        <v>1.53</v>
      </c>
      <c r="E35">
        <v>1.52</v>
      </c>
      <c r="F35">
        <v>1.53</v>
      </c>
      <c r="G35">
        <v>1.54</v>
      </c>
      <c r="H35">
        <v>1709</v>
      </c>
      <c r="I35">
        <v>1773</v>
      </c>
      <c r="J35">
        <v>1764</v>
      </c>
      <c r="K35">
        <v>1771</v>
      </c>
      <c r="L35">
        <f t="shared" si="37"/>
        <v>2698.92</v>
      </c>
      <c r="M35">
        <f t="shared" si="38"/>
        <v>2727.34</v>
      </c>
      <c r="N35">
        <f t="shared" si="33"/>
        <v>2698.92</v>
      </c>
      <c r="O35">
        <f t="shared" si="34"/>
        <v>2727.34</v>
      </c>
      <c r="P35">
        <f t="shared" si="35"/>
        <v>2713.13</v>
      </c>
      <c r="Q35">
        <v>2775</v>
      </c>
      <c r="R35">
        <f t="shared" si="39"/>
        <v>0.97770450450450452</v>
      </c>
    </row>
    <row r="36" spans="1:18" x14ac:dyDescent="0.25">
      <c r="A36" t="s">
        <v>9</v>
      </c>
      <c r="B36">
        <v>68</v>
      </c>
      <c r="C36">
        <v>400</v>
      </c>
      <c r="D36">
        <v>1.53</v>
      </c>
      <c r="E36">
        <v>1.52</v>
      </c>
      <c r="F36">
        <v>1.53</v>
      </c>
      <c r="G36">
        <v>1.54</v>
      </c>
      <c r="H36">
        <v>1714</v>
      </c>
      <c r="I36">
        <v>1800</v>
      </c>
      <c r="J36">
        <v>1814</v>
      </c>
      <c r="K36">
        <v>1803</v>
      </c>
      <c r="L36">
        <f t="shared" si="37"/>
        <v>2775.42</v>
      </c>
      <c r="M36">
        <f t="shared" si="38"/>
        <v>2776.62</v>
      </c>
      <c r="N36">
        <f t="shared" si="33"/>
        <v>2775.42</v>
      </c>
      <c r="O36">
        <f t="shared" si="34"/>
        <v>2776.62</v>
      </c>
      <c r="P36">
        <f t="shared" si="35"/>
        <v>2776.0199999999995</v>
      </c>
      <c r="Q36">
        <v>2775</v>
      </c>
      <c r="R36">
        <f t="shared" ref="R36:R37" si="40">P36/Q36</f>
        <v>1.0003675675675674</v>
      </c>
    </row>
    <row r="37" spans="1:18" x14ac:dyDescent="0.25">
      <c r="A37" t="s">
        <v>9</v>
      </c>
      <c r="B37">
        <v>68</v>
      </c>
      <c r="C37">
        <v>500</v>
      </c>
      <c r="D37">
        <v>1.53</v>
      </c>
      <c r="E37">
        <v>1.52</v>
      </c>
      <c r="F37">
        <v>1.52</v>
      </c>
      <c r="G37">
        <v>1.55</v>
      </c>
      <c r="H37">
        <v>1732</v>
      </c>
      <c r="I37">
        <v>1815</v>
      </c>
      <c r="J37">
        <v>1799</v>
      </c>
      <c r="K37">
        <v>1792</v>
      </c>
      <c r="L37">
        <f t="shared" si="37"/>
        <v>2734.48</v>
      </c>
      <c r="M37">
        <f t="shared" si="38"/>
        <v>2777.6</v>
      </c>
      <c r="N37">
        <f t="shared" si="33"/>
        <v>2734.48</v>
      </c>
      <c r="O37">
        <f t="shared" si="34"/>
        <v>2777.6</v>
      </c>
      <c r="P37">
        <f t="shared" si="35"/>
        <v>2756.04</v>
      </c>
      <c r="Q37">
        <v>2775</v>
      </c>
      <c r="R37">
        <f t="shared" si="40"/>
        <v>0.99316756756756752</v>
      </c>
    </row>
    <row r="38" spans="1:18" x14ac:dyDescent="0.25">
      <c r="A38" t="s">
        <v>9</v>
      </c>
      <c r="B38">
        <v>40</v>
      </c>
      <c r="C38">
        <v>100</v>
      </c>
      <c r="D38">
        <v>1.53</v>
      </c>
      <c r="E38">
        <v>1.52</v>
      </c>
      <c r="F38">
        <v>1.52</v>
      </c>
      <c r="G38">
        <v>1.57</v>
      </c>
      <c r="H38">
        <v>1621</v>
      </c>
      <c r="I38">
        <v>1688</v>
      </c>
      <c r="J38">
        <v>1673</v>
      </c>
      <c r="K38">
        <v>1667</v>
      </c>
      <c r="L38">
        <f>F38*J38</f>
        <v>2542.96</v>
      </c>
      <c r="M38">
        <f>G38*K38</f>
        <v>2617.19</v>
      </c>
      <c r="N38">
        <f t="shared" ref="N38:N39" si="41">F38*J38</f>
        <v>2542.96</v>
      </c>
      <c r="O38">
        <f t="shared" ref="O38:O39" si="42">G38*K38</f>
        <v>2617.19</v>
      </c>
      <c r="P38">
        <f t="shared" ref="P38:P39" si="43">AVERAGE(L38:O38)</f>
        <v>2580.0749999999998</v>
      </c>
      <c r="Q38">
        <v>2775</v>
      </c>
      <c r="R38">
        <f t="shared" ref="R38:R39" si="44">P38/Q38</f>
        <v>0.92975675675675673</v>
      </c>
    </row>
    <row r="39" spans="1:18" x14ac:dyDescent="0.25">
      <c r="A39" t="s">
        <v>9</v>
      </c>
      <c r="B39">
        <v>40</v>
      </c>
      <c r="C39">
        <v>200</v>
      </c>
      <c r="D39">
        <v>1.58</v>
      </c>
      <c r="E39">
        <v>1.52</v>
      </c>
      <c r="F39">
        <v>1.52</v>
      </c>
      <c r="G39">
        <v>1.55</v>
      </c>
      <c r="H39">
        <v>1651</v>
      </c>
      <c r="I39">
        <v>1731</v>
      </c>
      <c r="J39">
        <v>1723</v>
      </c>
      <c r="K39">
        <v>1725</v>
      </c>
      <c r="L39">
        <f>F39*J39</f>
        <v>2618.96</v>
      </c>
      <c r="M39">
        <f>G39*K39</f>
        <v>2673.75</v>
      </c>
      <c r="N39">
        <f t="shared" si="41"/>
        <v>2618.96</v>
      </c>
      <c r="O39">
        <f t="shared" si="42"/>
        <v>2673.75</v>
      </c>
      <c r="P39">
        <f t="shared" si="43"/>
        <v>2646.355</v>
      </c>
      <c r="Q39">
        <v>2775</v>
      </c>
      <c r="R39">
        <f t="shared" si="44"/>
        <v>0.95364144144144147</v>
      </c>
    </row>
    <row r="40" spans="1:18" x14ac:dyDescent="0.25">
      <c r="A40" t="s">
        <v>9</v>
      </c>
      <c r="B40">
        <v>40</v>
      </c>
      <c r="C40">
        <v>300</v>
      </c>
      <c r="D40">
        <v>1.56</v>
      </c>
      <c r="E40">
        <v>1.52</v>
      </c>
      <c r="F40">
        <v>1.52</v>
      </c>
      <c r="G40">
        <v>1.54</v>
      </c>
      <c r="H40">
        <v>1667</v>
      </c>
      <c r="I40">
        <v>1745</v>
      </c>
      <c r="J40">
        <v>1743</v>
      </c>
      <c r="K40">
        <v>1729</v>
      </c>
      <c r="L40">
        <f t="shared" ref="L40:L47" si="45">F40*J40</f>
        <v>2649.36</v>
      </c>
      <c r="M40">
        <f t="shared" ref="M40:M47" si="46">G40*K40</f>
        <v>2662.66</v>
      </c>
      <c r="N40">
        <f t="shared" ref="N40:N47" si="47">F40*J40</f>
        <v>2649.36</v>
      </c>
      <c r="O40">
        <f t="shared" ref="O40:O47" si="48">G40*K40</f>
        <v>2662.66</v>
      </c>
      <c r="P40">
        <f t="shared" ref="P40:P47" si="49">AVERAGE(L40:O40)</f>
        <v>2656.01</v>
      </c>
      <c r="Q40">
        <v>2775</v>
      </c>
      <c r="R40">
        <f t="shared" ref="R40:R42" si="50">P40/Q40</f>
        <v>0.95712072072072085</v>
      </c>
    </row>
    <row r="41" spans="1:18" x14ac:dyDescent="0.25">
      <c r="A41" t="s">
        <v>9</v>
      </c>
      <c r="B41">
        <v>40</v>
      </c>
      <c r="C41">
        <v>400</v>
      </c>
      <c r="D41">
        <v>1.52</v>
      </c>
      <c r="E41">
        <v>1.52</v>
      </c>
      <c r="F41">
        <v>1.52</v>
      </c>
      <c r="G41">
        <v>1.56</v>
      </c>
      <c r="H41">
        <v>1680</v>
      </c>
      <c r="I41">
        <v>1766</v>
      </c>
      <c r="J41">
        <v>1763</v>
      </c>
      <c r="K41">
        <v>1756</v>
      </c>
      <c r="L41">
        <f t="shared" si="45"/>
        <v>2679.76</v>
      </c>
      <c r="M41">
        <f t="shared" si="46"/>
        <v>2739.36</v>
      </c>
      <c r="N41">
        <f t="shared" si="47"/>
        <v>2679.76</v>
      </c>
      <c r="O41">
        <f t="shared" si="48"/>
        <v>2739.36</v>
      </c>
      <c r="P41">
        <f t="shared" si="49"/>
        <v>2709.5600000000004</v>
      </c>
      <c r="Q41">
        <v>2775</v>
      </c>
      <c r="R41">
        <f t="shared" si="50"/>
        <v>0.9764180180180182</v>
      </c>
    </row>
    <row r="42" spans="1:18" x14ac:dyDescent="0.25">
      <c r="A42" t="s">
        <v>9</v>
      </c>
      <c r="B42">
        <v>40</v>
      </c>
      <c r="C42">
        <v>500</v>
      </c>
      <c r="D42">
        <v>1.53</v>
      </c>
      <c r="E42">
        <v>1.52</v>
      </c>
      <c r="F42">
        <v>1.52</v>
      </c>
      <c r="G42">
        <v>1.54</v>
      </c>
      <c r="H42">
        <v>1699</v>
      </c>
      <c r="I42">
        <v>1785</v>
      </c>
      <c r="J42">
        <v>1788</v>
      </c>
      <c r="K42">
        <v>1763</v>
      </c>
      <c r="L42">
        <f t="shared" si="45"/>
        <v>2717.76</v>
      </c>
      <c r="M42">
        <f t="shared" si="46"/>
        <v>2715.02</v>
      </c>
      <c r="N42">
        <f t="shared" si="47"/>
        <v>2717.76</v>
      </c>
      <c r="O42">
        <f t="shared" si="48"/>
        <v>2715.02</v>
      </c>
      <c r="P42">
        <f t="shared" si="49"/>
        <v>2716.3900000000003</v>
      </c>
      <c r="Q42">
        <v>2775</v>
      </c>
      <c r="R42">
        <f t="shared" si="50"/>
        <v>0.97887927927927942</v>
      </c>
    </row>
    <row r="43" spans="1:18" x14ac:dyDescent="0.25">
      <c r="A43" t="s">
        <v>9</v>
      </c>
      <c r="B43">
        <v>0</v>
      </c>
      <c r="C43">
        <v>100</v>
      </c>
      <c r="D43">
        <v>1.53</v>
      </c>
      <c r="E43">
        <v>1.52</v>
      </c>
      <c r="F43">
        <v>1.52</v>
      </c>
      <c r="G43">
        <v>1.55</v>
      </c>
      <c r="H43">
        <v>1452</v>
      </c>
      <c r="I43">
        <v>1539</v>
      </c>
      <c r="J43">
        <v>1494</v>
      </c>
      <c r="K43">
        <v>1488</v>
      </c>
      <c r="L43">
        <f t="shared" si="45"/>
        <v>2270.88</v>
      </c>
      <c r="M43">
        <f t="shared" si="46"/>
        <v>2306.4</v>
      </c>
      <c r="N43">
        <f t="shared" si="47"/>
        <v>2270.88</v>
      </c>
      <c r="O43">
        <f t="shared" si="48"/>
        <v>2306.4</v>
      </c>
      <c r="P43">
        <f t="shared" si="49"/>
        <v>2288.6400000000003</v>
      </c>
      <c r="Q43">
        <v>2775</v>
      </c>
      <c r="R43">
        <f t="shared" ref="R43:R46" si="51">P43/Q43</f>
        <v>0.8247351351351353</v>
      </c>
    </row>
    <row r="44" spans="1:18" x14ac:dyDescent="0.25">
      <c r="A44" t="s">
        <v>9</v>
      </c>
      <c r="B44">
        <v>0</v>
      </c>
      <c r="C44">
        <v>200</v>
      </c>
      <c r="D44">
        <v>1.52</v>
      </c>
      <c r="E44">
        <v>1.52</v>
      </c>
      <c r="F44">
        <v>1.52</v>
      </c>
      <c r="G44">
        <v>1.55</v>
      </c>
      <c r="H44">
        <v>1448</v>
      </c>
      <c r="I44">
        <v>1543</v>
      </c>
      <c r="J44">
        <v>1500</v>
      </c>
      <c r="K44">
        <v>1543</v>
      </c>
      <c r="L44">
        <f t="shared" si="45"/>
        <v>2280</v>
      </c>
      <c r="M44">
        <f t="shared" si="46"/>
        <v>2391.65</v>
      </c>
      <c r="N44">
        <f t="shared" si="47"/>
        <v>2280</v>
      </c>
      <c r="O44">
        <f t="shared" si="48"/>
        <v>2391.65</v>
      </c>
      <c r="P44">
        <f t="shared" si="49"/>
        <v>2335.8249999999998</v>
      </c>
      <c r="Q44">
        <v>2775</v>
      </c>
      <c r="R44">
        <f t="shared" si="51"/>
        <v>0.84173873873873872</v>
      </c>
    </row>
    <row r="45" spans="1:18" x14ac:dyDescent="0.25">
      <c r="A45" t="s">
        <v>9</v>
      </c>
      <c r="B45">
        <v>0</v>
      </c>
      <c r="C45">
        <v>300</v>
      </c>
      <c r="D45">
        <v>1.53</v>
      </c>
      <c r="E45">
        <v>1.52</v>
      </c>
      <c r="F45">
        <v>1.52</v>
      </c>
      <c r="G45">
        <v>1.55</v>
      </c>
      <c r="H45">
        <v>1492</v>
      </c>
      <c r="I45">
        <v>1495</v>
      </c>
      <c r="J45">
        <v>1575</v>
      </c>
      <c r="K45">
        <v>1582</v>
      </c>
      <c r="L45">
        <f t="shared" si="45"/>
        <v>2394</v>
      </c>
      <c r="M45">
        <f t="shared" si="46"/>
        <v>2452.1</v>
      </c>
      <c r="N45">
        <f t="shared" si="47"/>
        <v>2394</v>
      </c>
      <c r="O45">
        <f t="shared" si="48"/>
        <v>2452.1</v>
      </c>
      <c r="P45">
        <f t="shared" si="49"/>
        <v>2423.0500000000002</v>
      </c>
      <c r="Q45">
        <v>2775</v>
      </c>
      <c r="R45">
        <f t="shared" si="51"/>
        <v>0.87317117117117127</v>
      </c>
    </row>
    <row r="46" spans="1:18" x14ac:dyDescent="0.25">
      <c r="A46" t="s">
        <v>9</v>
      </c>
      <c r="B46">
        <v>0</v>
      </c>
      <c r="C46">
        <v>400</v>
      </c>
      <c r="D46">
        <v>1.53</v>
      </c>
      <c r="E46">
        <v>1.52</v>
      </c>
      <c r="F46">
        <v>1.52</v>
      </c>
      <c r="G46">
        <v>1.55</v>
      </c>
      <c r="H46">
        <v>1505</v>
      </c>
      <c r="I46">
        <v>1621</v>
      </c>
      <c r="J46">
        <v>1589</v>
      </c>
      <c r="K46">
        <v>1585</v>
      </c>
      <c r="L46">
        <f t="shared" si="45"/>
        <v>2415.2800000000002</v>
      </c>
      <c r="M46">
        <f t="shared" si="46"/>
        <v>2456.75</v>
      </c>
      <c r="N46">
        <f t="shared" si="47"/>
        <v>2415.2800000000002</v>
      </c>
      <c r="O46">
        <f t="shared" si="48"/>
        <v>2456.75</v>
      </c>
      <c r="P46">
        <f t="shared" si="49"/>
        <v>2436.0150000000003</v>
      </c>
      <c r="Q46">
        <v>2775</v>
      </c>
      <c r="R46">
        <f t="shared" si="51"/>
        <v>0.87784324324324337</v>
      </c>
    </row>
    <row r="47" spans="1:18" x14ac:dyDescent="0.25">
      <c r="A47" t="s">
        <v>9</v>
      </c>
      <c r="B47">
        <v>0</v>
      </c>
      <c r="C47">
        <v>500</v>
      </c>
      <c r="D47">
        <v>1.53</v>
      </c>
      <c r="E47">
        <v>1.52</v>
      </c>
      <c r="F47">
        <v>1.52</v>
      </c>
      <c r="G47">
        <v>1.56</v>
      </c>
      <c r="H47">
        <v>1524</v>
      </c>
      <c r="I47">
        <v>1576</v>
      </c>
      <c r="J47">
        <v>1565</v>
      </c>
      <c r="K47">
        <v>1581</v>
      </c>
      <c r="L47">
        <f t="shared" si="45"/>
        <v>2378.8000000000002</v>
      </c>
      <c r="M47">
        <f t="shared" si="46"/>
        <v>2466.36</v>
      </c>
      <c r="N47">
        <f t="shared" si="47"/>
        <v>2378.8000000000002</v>
      </c>
      <c r="O47">
        <f t="shared" si="48"/>
        <v>2466.36</v>
      </c>
      <c r="P47">
        <f t="shared" si="49"/>
        <v>2422.58</v>
      </c>
      <c r="Q47">
        <v>2776</v>
      </c>
      <c r="R47">
        <f t="shared" ref="R47" si="52">P47/Q47</f>
        <v>0.87268731988472625</v>
      </c>
    </row>
  </sheetData>
  <mergeCells count="3">
    <mergeCell ref="L1:P1"/>
    <mergeCell ref="H1:K1"/>
    <mergeCell ref="D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EFDF-69A7-4B51-AB9B-C678EF95DBDD}">
  <dimension ref="A4:E24"/>
  <sheetViews>
    <sheetView tabSelected="1" workbookViewId="0"/>
  </sheetViews>
  <sheetFormatPr defaultRowHeight="15" x14ac:dyDescent="0.25"/>
  <cols>
    <col min="1" max="1" width="19.5703125" bestFit="1" customWidth="1"/>
    <col min="2" max="2" width="16.28515625" bestFit="1" customWidth="1"/>
    <col min="3" max="3" width="10" bestFit="1" customWidth="1"/>
    <col min="4" max="4" width="12.85546875" bestFit="1" customWidth="1"/>
    <col min="5" max="5" width="12" bestFit="1" customWidth="1"/>
    <col min="6" max="6" width="10" bestFit="1" customWidth="1"/>
    <col min="7" max="7" width="13.7109375" bestFit="1" customWidth="1"/>
    <col min="8" max="10" width="12" bestFit="1" customWidth="1"/>
    <col min="11" max="11" width="10" bestFit="1" customWidth="1"/>
    <col min="12" max="12" width="12" bestFit="1" customWidth="1"/>
    <col min="13" max="13" width="14.85546875" bestFit="1" customWidth="1"/>
    <col min="14" max="14" width="14.7109375" bestFit="1" customWidth="1"/>
    <col min="15" max="15" width="9" bestFit="1" customWidth="1"/>
    <col min="16" max="16" width="8" bestFit="1" customWidth="1"/>
    <col min="17" max="17" width="10" bestFit="1" customWidth="1"/>
    <col min="18" max="18" width="9" bestFit="1" customWidth="1"/>
    <col min="19" max="19" width="18" bestFit="1" customWidth="1"/>
    <col min="20" max="22" width="12" bestFit="1" customWidth="1"/>
  </cols>
  <sheetData>
    <row r="4" spans="1:5" x14ac:dyDescent="0.25">
      <c r="A4" s="2" t="s">
        <v>27</v>
      </c>
      <c r="B4" s="2" t="s">
        <v>26</v>
      </c>
    </row>
    <row r="5" spans="1:5" x14ac:dyDescent="0.25">
      <c r="A5" s="2" t="s">
        <v>24</v>
      </c>
      <c r="B5" t="s">
        <v>7</v>
      </c>
      <c r="C5" t="s">
        <v>5</v>
      </c>
      <c r="D5" t="s">
        <v>9</v>
      </c>
      <c r="E5" t="s">
        <v>25</v>
      </c>
    </row>
    <row r="6" spans="1:5" x14ac:dyDescent="0.25">
      <c r="A6" s="3">
        <v>0</v>
      </c>
      <c r="B6" s="4">
        <v>2208.4970000000003</v>
      </c>
      <c r="C6" s="4">
        <v>2370.0000000000005</v>
      </c>
      <c r="D6" s="4">
        <v>2381.2220000000002</v>
      </c>
      <c r="E6" s="4">
        <v>2319.9063333333334</v>
      </c>
    </row>
    <row r="7" spans="1:5" x14ac:dyDescent="0.25">
      <c r="A7" s="5">
        <v>100</v>
      </c>
      <c r="B7" s="4">
        <v>2254.92</v>
      </c>
      <c r="C7" s="4">
        <v>2270.4</v>
      </c>
      <c r="D7" s="4">
        <v>2288.6400000000003</v>
      </c>
      <c r="E7" s="4">
        <v>2271.3200000000002</v>
      </c>
    </row>
    <row r="8" spans="1:5" x14ac:dyDescent="0.25">
      <c r="A8" s="5">
        <v>200</v>
      </c>
      <c r="B8" s="4">
        <v>2179.6800000000003</v>
      </c>
      <c r="C8" s="4">
        <v>2362.8000000000002</v>
      </c>
      <c r="D8" s="4">
        <v>2335.8249999999998</v>
      </c>
      <c r="E8" s="4">
        <v>2292.7683333333334</v>
      </c>
    </row>
    <row r="9" spans="1:5" x14ac:dyDescent="0.25">
      <c r="A9" s="5">
        <v>300</v>
      </c>
      <c r="B9" s="4">
        <v>2188.4849999999997</v>
      </c>
      <c r="C9" s="4">
        <v>2400.4</v>
      </c>
      <c r="D9" s="4">
        <v>2423.0500000000002</v>
      </c>
      <c r="E9" s="4">
        <v>2337.311666666667</v>
      </c>
    </row>
    <row r="10" spans="1:5" x14ac:dyDescent="0.25">
      <c r="A10" s="5">
        <v>400</v>
      </c>
      <c r="B10" s="4">
        <v>2282.2799999999997</v>
      </c>
      <c r="C10" s="4">
        <v>2407.2000000000003</v>
      </c>
      <c r="D10" s="4">
        <v>2436.0150000000003</v>
      </c>
      <c r="E10" s="4">
        <v>2375.165</v>
      </c>
    </row>
    <row r="11" spans="1:5" x14ac:dyDescent="0.25">
      <c r="A11" s="5">
        <v>500</v>
      </c>
      <c r="B11" s="4">
        <v>2137.12</v>
      </c>
      <c r="C11" s="4">
        <v>2409.2000000000003</v>
      </c>
      <c r="D11" s="4">
        <v>2422.58</v>
      </c>
      <c r="E11" s="4">
        <v>2322.9666666666667</v>
      </c>
    </row>
    <row r="12" spans="1:5" x14ac:dyDescent="0.25">
      <c r="A12" s="3">
        <v>40</v>
      </c>
      <c r="B12" s="4">
        <v>2659.8339999999998</v>
      </c>
      <c r="C12" s="4">
        <v>2634.3745000000004</v>
      </c>
      <c r="D12" s="4">
        <v>2661.6779999999999</v>
      </c>
      <c r="E12" s="4">
        <v>2651.9621666666667</v>
      </c>
    </row>
    <row r="13" spans="1:5" x14ac:dyDescent="0.25">
      <c r="A13" s="5">
        <v>100</v>
      </c>
      <c r="B13" s="4">
        <v>2577.2199999999998</v>
      </c>
      <c r="C13" s="4">
        <v>2578.4000000000005</v>
      </c>
      <c r="D13" s="4">
        <v>2580.0749999999998</v>
      </c>
      <c r="E13" s="4">
        <v>2578.5650000000001</v>
      </c>
    </row>
    <row r="14" spans="1:5" x14ac:dyDescent="0.25">
      <c r="A14" s="5">
        <v>200</v>
      </c>
      <c r="B14" s="4">
        <v>2637.6400000000003</v>
      </c>
      <c r="C14" s="4">
        <v>2588.8024999999998</v>
      </c>
      <c r="D14" s="4">
        <v>2646.355</v>
      </c>
      <c r="E14" s="4">
        <v>2624.2658333333334</v>
      </c>
    </row>
    <row r="15" spans="1:5" x14ac:dyDescent="0.25">
      <c r="A15" s="5">
        <v>300</v>
      </c>
      <c r="B15" s="4">
        <v>2639.99</v>
      </c>
      <c r="C15" s="4">
        <v>2634.27</v>
      </c>
      <c r="D15" s="4">
        <v>2656.01</v>
      </c>
      <c r="E15" s="4">
        <v>2643.4233333333336</v>
      </c>
    </row>
    <row r="16" spans="1:5" x14ac:dyDescent="0.25">
      <c r="A16" s="5">
        <v>400</v>
      </c>
      <c r="B16" s="4">
        <v>2700.59</v>
      </c>
      <c r="C16" s="4">
        <v>2666.4000000000005</v>
      </c>
      <c r="D16" s="4">
        <v>2709.5600000000004</v>
      </c>
      <c r="E16" s="4">
        <v>2692.1833333333338</v>
      </c>
    </row>
    <row r="17" spans="1:5" x14ac:dyDescent="0.25">
      <c r="A17" s="5">
        <v>500</v>
      </c>
      <c r="B17" s="4">
        <v>2743.73</v>
      </c>
      <c r="C17" s="4">
        <v>2704</v>
      </c>
      <c r="D17" s="4">
        <v>2716.3900000000003</v>
      </c>
      <c r="E17" s="4">
        <v>2721.3733333333334</v>
      </c>
    </row>
    <row r="18" spans="1:5" x14ac:dyDescent="0.25">
      <c r="A18" s="3">
        <v>68</v>
      </c>
      <c r="B18" s="4">
        <v>2771.3089999999997</v>
      </c>
      <c r="C18" s="4">
        <v>2675.8969999999999</v>
      </c>
      <c r="D18" s="4">
        <v>2738.2739999999999</v>
      </c>
      <c r="E18" s="4">
        <v>2728.4933333333333</v>
      </c>
    </row>
    <row r="19" spans="1:5" x14ac:dyDescent="0.25">
      <c r="A19" s="5">
        <v>100</v>
      </c>
      <c r="B19" s="4">
        <v>2689.8575000000001</v>
      </c>
      <c r="C19" s="4">
        <v>2602.8000000000002</v>
      </c>
      <c r="D19" s="4">
        <v>2747.71</v>
      </c>
      <c r="E19" s="4">
        <v>2680.1224999999999</v>
      </c>
    </row>
    <row r="20" spans="1:5" x14ac:dyDescent="0.25">
      <c r="A20" s="5">
        <v>200</v>
      </c>
      <c r="B20" s="4">
        <v>2785.9975000000004</v>
      </c>
      <c r="C20" s="4">
        <v>2656.8074999999999</v>
      </c>
      <c r="D20" s="4">
        <v>2698.4700000000003</v>
      </c>
      <c r="E20" s="4">
        <v>2713.7583333333337</v>
      </c>
    </row>
    <row r="21" spans="1:5" x14ac:dyDescent="0.25">
      <c r="A21" s="5">
        <v>300</v>
      </c>
      <c r="B21" s="4">
        <v>2757.9924999999998</v>
      </c>
      <c r="C21" s="4">
        <v>2674.11</v>
      </c>
      <c r="D21" s="4">
        <v>2713.13</v>
      </c>
      <c r="E21" s="4">
        <v>2715.0774999999999</v>
      </c>
    </row>
    <row r="22" spans="1:5" x14ac:dyDescent="0.25">
      <c r="A22" s="5">
        <v>400</v>
      </c>
      <c r="B22" s="4">
        <v>2808.87</v>
      </c>
      <c r="C22" s="4">
        <v>2701.0875000000005</v>
      </c>
      <c r="D22" s="4">
        <v>2776.0199999999995</v>
      </c>
      <c r="E22" s="4">
        <v>2761.9925000000003</v>
      </c>
    </row>
    <row r="23" spans="1:5" x14ac:dyDescent="0.25">
      <c r="A23" s="5">
        <v>500</v>
      </c>
      <c r="B23" s="4">
        <v>2813.8274999999999</v>
      </c>
      <c r="C23" s="4">
        <v>2744.6800000000003</v>
      </c>
      <c r="D23" s="4">
        <v>2756.04</v>
      </c>
      <c r="E23" s="4">
        <v>2771.5158333333334</v>
      </c>
    </row>
    <row r="24" spans="1:5" x14ac:dyDescent="0.25">
      <c r="A24" s="3" t="s">
        <v>25</v>
      </c>
      <c r="B24" s="4">
        <v>2546.5466666666666</v>
      </c>
      <c r="C24" s="4">
        <v>2560.0904999999998</v>
      </c>
      <c r="D24" s="4">
        <v>2593.724666666667</v>
      </c>
      <c r="E24" s="4">
        <v>2566.787277777777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Li-Ion Batteries</vt:lpstr>
      <vt:lpstr>PivotTable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Zak</dc:creator>
  <cp:lastModifiedBy>Bob Zak</cp:lastModifiedBy>
  <dcterms:created xsi:type="dcterms:W3CDTF">2021-09-05T23:10:44Z</dcterms:created>
  <dcterms:modified xsi:type="dcterms:W3CDTF">2022-04-20T21:12:58Z</dcterms:modified>
</cp:coreProperties>
</file>