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878bbd60d8e20bd/Documents/BlogPosts/2021-09-05-Batteries-for-Trail-Cameras/"/>
    </mc:Choice>
  </mc:AlternateContent>
  <xr:revisionPtr revIDLastSave="405" documentId="8_{2D3A315A-4F4D-4F0D-A85E-FC196BEB44D5}" xr6:coauthVersionLast="47" xr6:coauthVersionMax="47" xr10:uidLastSave="{D3778631-1A19-4EB9-84D7-F167395748EC}"/>
  <bookViews>
    <workbookView xWindow="26445" yWindow="555" windowWidth="17415" windowHeight="11325" activeTab="1" xr2:uid="{68595170-AA7C-41B9-BED1-9A3BBC4B3FC7}"/>
  </bookViews>
  <sheets>
    <sheet name="Summary" sheetId="1" r:id="rId1"/>
    <sheet name="Battery Capacity" sheetId="12" r:id="rId2"/>
    <sheet name="Lifetime Cost Mode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12" l="1"/>
  <c r="F36" i="12" s="1"/>
  <c r="F35" i="12" s="1"/>
  <c r="F29" i="12"/>
  <c r="F30" i="12"/>
  <c r="F31" i="12"/>
  <c r="P130" i="3"/>
  <c r="P81" i="3"/>
  <c r="C108" i="3"/>
  <c r="D108" i="3" s="1"/>
  <c r="E108" i="3" s="1"/>
  <c r="F108" i="3" s="1"/>
  <c r="G108" i="3" s="1"/>
  <c r="H108" i="3" s="1"/>
  <c r="I108" i="3" s="1"/>
  <c r="J108" i="3" s="1"/>
  <c r="K108" i="3" s="1"/>
  <c r="L108" i="3" s="1"/>
  <c r="M108" i="3" s="1"/>
  <c r="N108" i="3" s="1"/>
  <c r="C11" i="3"/>
  <c r="D11" i="3"/>
  <c r="E11" i="3"/>
  <c r="B11" i="3"/>
  <c r="C10" i="3"/>
  <c r="D10" i="3"/>
  <c r="E10" i="3"/>
  <c r="B10" i="3"/>
  <c r="C18" i="3"/>
  <c r="B18" i="12"/>
  <c r="B15" i="12"/>
  <c r="B6" i="12"/>
  <c r="B3" i="12"/>
  <c r="B11" i="12"/>
  <c r="B42" i="12" s="1"/>
  <c r="B60" i="12"/>
  <c r="B66" i="12" s="1"/>
  <c r="D60" i="12"/>
  <c r="D66" i="12" s="1"/>
  <c r="A51" i="12"/>
  <c r="A57" i="12" s="1"/>
  <c r="A63" i="12" s="1"/>
  <c r="A69" i="12" s="1"/>
  <c r="A75" i="12" s="1"/>
  <c r="A50" i="12"/>
  <c r="A56" i="12" s="1"/>
  <c r="A62" i="12" s="1"/>
  <c r="A68" i="12" s="1"/>
  <c r="A74" i="12" s="1"/>
  <c r="A49" i="12"/>
  <c r="A55" i="12" s="1"/>
  <c r="A61" i="12" s="1"/>
  <c r="A67" i="12" s="1"/>
  <c r="A73" i="12" s="1"/>
  <c r="F43" i="12" l="1"/>
  <c r="F51" i="12" s="1"/>
  <c r="F41" i="12"/>
  <c r="F42" i="12"/>
  <c r="E43" i="12"/>
  <c r="D43" i="12"/>
  <c r="C43" i="12"/>
  <c r="B43" i="12"/>
  <c r="B41" i="12"/>
  <c r="E42" i="12"/>
  <c r="E41" i="12"/>
  <c r="D42" i="12"/>
  <c r="D41" i="12"/>
  <c r="C42" i="12"/>
  <c r="C41" i="12"/>
  <c r="B22" i="12"/>
  <c r="B12" i="12"/>
  <c r="F57" i="12" l="1"/>
  <c r="F69" i="12"/>
  <c r="F63" i="12"/>
  <c r="F50" i="12"/>
  <c r="D74" i="12"/>
  <c r="E73" i="12"/>
  <c r="B75" i="12"/>
  <c r="F75" i="12"/>
  <c r="E74" i="12"/>
  <c r="F74" i="12"/>
  <c r="E49" i="12"/>
  <c r="F49" i="12"/>
  <c r="E51" i="12"/>
  <c r="E75" i="12" s="1"/>
  <c r="E50" i="12"/>
  <c r="D51" i="12"/>
  <c r="D57" i="12" s="1"/>
  <c r="C49" i="12"/>
  <c r="C61" i="12" s="1"/>
  <c r="C50" i="12"/>
  <c r="C74" i="12" s="1"/>
  <c r="D50" i="12"/>
  <c r="B49" i="12"/>
  <c r="B73" i="12" s="1"/>
  <c r="B51" i="12"/>
  <c r="B63" i="12" s="1"/>
  <c r="C51" i="12"/>
  <c r="C75" i="12" s="1"/>
  <c r="D49" i="12"/>
  <c r="D73" i="12" s="1"/>
  <c r="B50" i="12"/>
  <c r="B74" i="12" s="1"/>
  <c r="E55" i="12"/>
  <c r="C55" i="12"/>
  <c r="C124" i="3"/>
  <c r="D124" i="3" s="1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D17" i="3"/>
  <c r="D18" i="3" s="1"/>
  <c r="C92" i="3"/>
  <c r="D92" i="3" s="1"/>
  <c r="E92" i="3" s="1"/>
  <c r="F92" i="3" s="1"/>
  <c r="G92" i="3" s="1"/>
  <c r="H92" i="3" s="1"/>
  <c r="I92" i="3" s="1"/>
  <c r="J92" i="3" s="1"/>
  <c r="K92" i="3" s="1"/>
  <c r="L92" i="3" s="1"/>
  <c r="M92" i="3" s="1"/>
  <c r="N92" i="3" s="1"/>
  <c r="C75" i="3"/>
  <c r="D75" i="3" s="1"/>
  <c r="E75" i="3" s="1"/>
  <c r="F75" i="3" s="1"/>
  <c r="G75" i="3" s="1"/>
  <c r="H75" i="3" s="1"/>
  <c r="I75" i="3" s="1"/>
  <c r="J75" i="3" s="1"/>
  <c r="K75" i="3" s="1"/>
  <c r="L75" i="3" s="1"/>
  <c r="M75" i="3" s="1"/>
  <c r="N75" i="3" s="1"/>
  <c r="C57" i="3"/>
  <c r="D57" i="3" s="1"/>
  <c r="E57" i="3" s="1"/>
  <c r="F57" i="3" s="1"/>
  <c r="G57" i="3" s="1"/>
  <c r="H57" i="3" s="1"/>
  <c r="I57" i="3" s="1"/>
  <c r="J57" i="3" s="1"/>
  <c r="K57" i="3" s="1"/>
  <c r="L57" i="3" s="1"/>
  <c r="M57" i="3" s="1"/>
  <c r="N57" i="3" s="1"/>
  <c r="C40" i="3"/>
  <c r="D40" i="3" s="1"/>
  <c r="E40" i="3" s="1"/>
  <c r="F40" i="3" s="1"/>
  <c r="G40" i="3" s="1"/>
  <c r="H40" i="3" s="1"/>
  <c r="I40" i="3" s="1"/>
  <c r="J40" i="3" s="1"/>
  <c r="K40" i="3" s="1"/>
  <c r="L40" i="3" s="1"/>
  <c r="M40" i="3" s="1"/>
  <c r="N40" i="3" s="1"/>
  <c r="E17" i="3"/>
  <c r="E18" i="3" s="1"/>
  <c r="E30" i="3" a="1"/>
  <c r="D12" i="3" a="1"/>
  <c r="E12" i="3" a="1"/>
  <c r="D22" i="3" a="1"/>
  <c r="E23" i="3" a="1"/>
  <c r="D23" i="3" a="1"/>
  <c r="D30" i="3" a="1"/>
  <c r="E22" i="3" a="1"/>
  <c r="C73" i="12" l="1"/>
  <c r="F67" i="12"/>
  <c r="F55" i="12"/>
  <c r="F61" i="12"/>
  <c r="F73" i="12"/>
  <c r="D75" i="12"/>
  <c r="F68" i="12"/>
  <c r="F56" i="12"/>
  <c r="F62" i="12"/>
  <c r="C67" i="12"/>
  <c r="B55" i="12"/>
  <c r="B67" i="12"/>
  <c r="B57" i="12"/>
  <c r="C57" i="12"/>
  <c r="B69" i="12"/>
  <c r="C68" i="12"/>
  <c r="C56" i="12"/>
  <c r="C69" i="12"/>
  <c r="C63" i="12"/>
  <c r="C62" i="12"/>
  <c r="B61" i="12"/>
  <c r="B62" i="12"/>
  <c r="B68" i="12"/>
  <c r="B56" i="12"/>
  <c r="D63" i="12"/>
  <c r="E68" i="12"/>
  <c r="E62" i="12"/>
  <c r="D69" i="12"/>
  <c r="E56" i="12"/>
  <c r="D55" i="12"/>
  <c r="D61" i="12"/>
  <c r="D62" i="12"/>
  <c r="D56" i="12"/>
  <c r="D67" i="12"/>
  <c r="D68" i="12"/>
  <c r="E67" i="12"/>
  <c r="E61" i="12"/>
  <c r="E69" i="12"/>
  <c r="E57" i="12"/>
  <c r="E63" i="12"/>
  <c r="D22" i="3"/>
  <c r="E23" i="3"/>
  <c r="E22" i="3"/>
  <c r="D23" i="3"/>
  <c r="E30" i="3"/>
  <c r="D30" i="3"/>
  <c r="E12" i="3"/>
  <c r="D12" i="3"/>
  <c r="E25" i="3"/>
  <c r="D25" i="3"/>
  <c r="B18" i="3"/>
  <c r="C19" i="3"/>
  <c r="C16" i="3" s="1"/>
  <c r="C25" i="3"/>
  <c r="L104" i="3" a="1"/>
  <c r="M104" i="3" a="1"/>
  <c r="G58" i="3" a="1"/>
  <c r="D67" i="3" a="1"/>
  <c r="L69" i="3" a="1"/>
  <c r="D43" i="3" a="1"/>
  <c r="F47" i="3" a="1"/>
  <c r="H109" i="3" a="1"/>
  <c r="N112" i="3" a="1"/>
  <c r="N114" i="3" a="1"/>
  <c r="E41" i="3" a="1"/>
  <c r="E95" i="3" a="1"/>
  <c r="E113" i="3" a="1"/>
  <c r="N100" i="3" a="1"/>
  <c r="F99" i="3" a="1"/>
  <c r="L68" i="3" a="1"/>
  <c r="N61" i="3" a="1"/>
  <c r="C62" i="3" a="1"/>
  <c r="K52" i="3" a="1"/>
  <c r="I44" i="3" a="1"/>
  <c r="E118" i="3" a="1"/>
  <c r="D110" i="3" a="1"/>
  <c r="D112" i="3" a="1"/>
  <c r="I60" i="3" a="1"/>
  <c r="D32" i="3" a="1"/>
  <c r="B49" i="3" a="1"/>
  <c r="K93" i="3" a="1"/>
  <c r="L102" i="3" a="1"/>
  <c r="E99" i="3" a="1"/>
  <c r="C69" i="3" a="1"/>
  <c r="L62" i="3" a="1"/>
  <c r="G41" i="3" a="1"/>
  <c r="J52" i="3" a="1"/>
  <c r="J46" i="3" a="1"/>
  <c r="G120" i="3" a="1"/>
  <c r="C114" i="3" a="1"/>
  <c r="N104" i="3" a="1"/>
  <c r="F50" i="3" a="1"/>
  <c r="C22" i="3" a="1"/>
  <c r="G119" i="3" a="1"/>
  <c r="J104" i="3" a="1"/>
  <c r="B103" i="3" a="1"/>
  <c r="H58" i="3" a="1"/>
  <c r="F65" i="3" a="1"/>
  <c r="N63" i="3" a="1"/>
  <c r="E42" i="3" a="1"/>
  <c r="G46" i="3" a="1"/>
  <c r="B118" i="3" a="1"/>
  <c r="B112" i="3" a="1"/>
  <c r="B114" i="3" a="1"/>
  <c r="J68" i="3" a="1"/>
  <c r="E94" i="3" a="1"/>
  <c r="G50" i="3" a="1"/>
  <c r="J97" i="3" a="1"/>
  <c r="B99" i="3" a="1"/>
  <c r="C30" i="3" a="1"/>
  <c r="J65" i="3" a="1"/>
  <c r="M69" i="3" a="1"/>
  <c r="M46" i="3" a="1"/>
  <c r="F51" i="3" a="1"/>
  <c r="E32" i="3" a="1"/>
  <c r="N116" i="3" a="1"/>
  <c r="M120" i="3" a="1"/>
  <c r="D69" i="3" a="1"/>
  <c r="N119" i="3" a="1"/>
  <c r="B23" i="3" a="1"/>
  <c r="D104" i="3" a="1"/>
  <c r="J100" i="3" a="1"/>
  <c r="F98" i="3" a="1"/>
  <c r="E67" i="3" a="1"/>
  <c r="I61" i="3" a="1"/>
  <c r="K49" i="3" a="1"/>
  <c r="J48" i="3" a="1"/>
  <c r="K45" i="3" a="1"/>
  <c r="I118" i="3" a="1"/>
  <c r="D113" i="3" a="1"/>
  <c r="H100" i="3" a="1"/>
  <c r="K112" i="3" a="1"/>
  <c r="I101" i="3" a="1"/>
  <c r="N99" i="3" a="1"/>
  <c r="G69" i="3" a="1"/>
  <c r="I62" i="3" a="1"/>
  <c r="G62" i="3" a="1"/>
  <c r="E47" i="3" a="1"/>
  <c r="M44" i="3" a="1"/>
  <c r="M118" i="3" a="1"/>
  <c r="H110" i="3" a="1"/>
  <c r="H112" i="3" a="1"/>
  <c r="K48" i="3" a="1"/>
  <c r="F67" i="3" a="1"/>
  <c r="E115" i="3" a="1"/>
  <c r="E97" i="3" a="1"/>
  <c r="K94" i="3" a="1"/>
  <c r="M63" i="3" a="1"/>
  <c r="D59" i="3" a="1"/>
  <c r="J59" i="3" a="1"/>
  <c r="B52" i="3" a="1"/>
  <c r="C42" i="3" a="1"/>
  <c r="I114" i="3" a="1"/>
  <c r="F118" i="3" a="1"/>
  <c r="C12" i="3" a="1"/>
  <c r="L43" i="3" a="1"/>
  <c r="K96" i="3" a="1"/>
  <c r="H42" i="3" a="1"/>
  <c r="K100" i="3" a="1"/>
  <c r="N101" i="3" a="1"/>
  <c r="L96" i="3" a="1"/>
  <c r="D64" i="3" a="1"/>
  <c r="B60" i="3" a="1"/>
  <c r="L51" i="3" a="1"/>
  <c r="B44" i="3" a="1"/>
  <c r="D44" i="3" a="1"/>
  <c r="E114" i="3" a="1"/>
  <c r="J111" i="3" a="1"/>
  <c r="I96" i="3" a="1"/>
  <c r="C120" i="3" a="1"/>
  <c r="C66" i="3" a="1"/>
  <c r="F115" i="3" a="1"/>
  <c r="K99" i="3" a="1"/>
  <c r="G98" i="3" a="1"/>
  <c r="I67" i="3" a="1"/>
  <c r="F61" i="3" a="1"/>
  <c r="H61" i="3" a="1"/>
  <c r="H51" i="3" a="1"/>
  <c r="N43" i="3" a="1"/>
  <c r="B117" i="3" a="1"/>
  <c r="F120" i="3" a="1"/>
  <c r="I111" i="3" a="1"/>
  <c r="L48" i="3" a="1"/>
  <c r="C102" i="3" a="1"/>
  <c r="C45" i="3" a="1"/>
  <c r="D95" i="3" a="1"/>
  <c r="H104" i="3" a="1"/>
  <c r="F58" i="3" a="1"/>
  <c r="B67" i="3" a="1"/>
  <c r="N64" i="3" a="1"/>
  <c r="G44" i="3" a="1"/>
  <c r="I48" i="3" a="1"/>
  <c r="M109" i="3" a="1"/>
  <c r="D114" i="3" a="1"/>
  <c r="K114" i="3" a="1"/>
  <c r="C60" i="3" a="1"/>
  <c r="I115" i="3" a="1"/>
  <c r="D47" i="3" a="1"/>
  <c r="L99" i="3" a="1"/>
  <c r="F103" i="3" a="1"/>
  <c r="M95" i="3" a="1"/>
  <c r="C61" i="3" a="1"/>
  <c r="C59" i="3" a="1"/>
  <c r="N49" i="3" a="1"/>
  <c r="K51" i="3" a="1"/>
  <c r="E43" i="3" a="1"/>
  <c r="G117" i="3" a="1"/>
  <c r="K110" i="3" a="1"/>
  <c r="K65" i="3" a="1"/>
  <c r="C111" i="3" a="1"/>
  <c r="M47" i="3" a="1"/>
  <c r="G113" i="3" a="1"/>
  <c r="H119" i="3" a="1"/>
  <c r="M41" i="3" a="1"/>
  <c r="D63" i="3" a="1"/>
  <c r="I97" i="3" a="1"/>
  <c r="F95" i="3" a="1"/>
  <c r="H64" i="3" a="1"/>
  <c r="H59" i="3" a="1"/>
  <c r="N59" i="3" a="1"/>
  <c r="I51" i="3" a="1"/>
  <c r="G42" i="3" a="1"/>
  <c r="M114" i="3" a="1"/>
  <c r="I119" i="3" a="1"/>
  <c r="B110" i="3" a="1"/>
  <c r="H45" i="3" a="1"/>
  <c r="L59" i="3" a="1"/>
  <c r="J93" i="3" a="1"/>
  <c r="L94" i="3" a="1"/>
  <c r="B102" i="3" a="1"/>
  <c r="H60" i="3" a="1"/>
  <c r="K67" i="3" a="1"/>
  <c r="I41" i="3" a="1"/>
  <c r="J44" i="3" a="1"/>
  <c r="M52" i="3" a="1"/>
  <c r="L111" i="3" a="1"/>
  <c r="C118" i="3" a="1"/>
  <c r="B97" i="3" a="1"/>
  <c r="G47" i="3" a="1"/>
  <c r="F104" i="3" a="1"/>
  <c r="D45" i="3" a="1"/>
  <c r="E98" i="3" a="1"/>
  <c r="E100" i="3" a="1"/>
  <c r="F94" i="3" a="1"/>
  <c r="M66" i="3" a="1"/>
  <c r="K68" i="3" a="1"/>
  <c r="L47" i="3" a="1"/>
  <c r="I52" i="3" a="1"/>
  <c r="B41" i="3" a="1"/>
  <c r="I117" i="3" a="1"/>
  <c r="D116" i="3" a="1"/>
  <c r="G66" i="3" a="1"/>
  <c r="B116" i="3" a="1"/>
  <c r="B64" i="3" a="1"/>
  <c r="F110" i="3" a="1"/>
  <c r="J96" i="3" a="1"/>
  <c r="M103" i="3" a="1"/>
  <c r="N62" i="3" a="1"/>
  <c r="H65" i="3" a="1"/>
  <c r="B59" i="3" a="1"/>
  <c r="N48" i="3" a="1"/>
  <c r="J50" i="3" a="1"/>
  <c r="J113" i="3" a="1"/>
  <c r="N120" i="3" a="1"/>
  <c r="G104" i="3" a="1"/>
  <c r="D46" i="3" a="1"/>
  <c r="D100" i="3" a="1"/>
  <c r="G112" i="3" a="1"/>
  <c r="K103" i="3" a="1"/>
  <c r="G102" i="3" a="1"/>
  <c r="D58" i="3" a="1"/>
  <c r="K64" i="3" a="1"/>
  <c r="J63" i="3" a="1"/>
  <c r="D52" i="3" a="1"/>
  <c r="C46" i="3" a="1"/>
  <c r="L116" i="3" a="1"/>
  <c r="K111" i="3" a="1"/>
  <c r="K113" i="3" a="1"/>
  <c r="K63" i="3" a="1"/>
  <c r="D99" i="3" a="1"/>
  <c r="J47" i="3" a="1"/>
  <c r="F97" i="3" a="1"/>
  <c r="C98" i="3" a="1"/>
  <c r="C32" i="3" a="1"/>
  <c r="B65" i="3" a="1"/>
  <c r="E69" i="3" a="1"/>
  <c r="I46" i="3" a="1"/>
  <c r="B51" i="3" a="1"/>
  <c r="B109" i="3" a="1"/>
  <c r="F116" i="3" a="1"/>
  <c r="E120" i="3" a="1"/>
  <c r="J69" i="3" a="1"/>
  <c r="J119" i="3" a="1"/>
  <c r="I45" i="3" a="1"/>
  <c r="G111" i="3" a="1"/>
  <c r="I112" i="3" a="1"/>
  <c r="H52" i="3" a="1"/>
  <c r="B68" i="3" a="1"/>
  <c r="B93" i="3" a="1"/>
  <c r="C95" i="3" a="1"/>
  <c r="F102" i="3" a="1"/>
  <c r="L60" i="3" a="1"/>
  <c r="F68" i="3" a="1"/>
  <c r="F41" i="3" a="1"/>
  <c r="N44" i="3" a="1"/>
  <c r="B48" i="3" a="1"/>
  <c r="C112" i="3" a="1"/>
  <c r="K118" i="3" a="1"/>
  <c r="K95" i="3" a="1"/>
  <c r="E109" i="3" a="1"/>
  <c r="D62" i="3" a="1"/>
  <c r="F93" i="3" a="1"/>
  <c r="G103" i="3" a="1"/>
  <c r="I99" i="3" a="1"/>
  <c r="K69" i="3" a="1"/>
  <c r="C63" i="3" a="1"/>
  <c r="K41" i="3" a="1"/>
  <c r="N50" i="3" a="1"/>
  <c r="I47" i="3" a="1"/>
  <c r="H116" i="3" a="1"/>
  <c r="G114" i="3" a="1"/>
  <c r="K102" i="3" a="1"/>
  <c r="D50" i="3" a="1"/>
  <c r="N95" i="3" a="1"/>
  <c r="G109" i="3" a="1"/>
  <c r="L95" i="3" a="1"/>
  <c r="B95" i="3" a="1"/>
  <c r="N58" i="3" a="1"/>
  <c r="G60" i="3" a="1"/>
  <c r="D66" i="3" a="1"/>
  <c r="B45" i="3" a="1"/>
  <c r="D49" i="3" a="1"/>
  <c r="J109" i="3" a="1"/>
  <c r="L114" i="3" a="1"/>
  <c r="D117" i="3" a="1"/>
  <c r="E68" i="3" a="1"/>
  <c r="M112" i="3" a="1"/>
  <c r="E60" i="3" a="1"/>
  <c r="L93" i="3" a="1"/>
  <c r="D94" i="3" a="1"/>
  <c r="G101" i="3" a="1"/>
  <c r="M59" i="3" a="1"/>
  <c r="H66" i="3" a="1"/>
  <c r="D41" i="3" a="1"/>
  <c r="K43" i="3" a="1"/>
  <c r="J51" i="3" a="1"/>
  <c r="D111" i="3" a="1"/>
  <c r="M116" i="3" a="1"/>
  <c r="H98" i="3" a="1"/>
  <c r="N47" i="3" a="1"/>
  <c r="C65" i="3" a="1"/>
  <c r="L110" i="3" a="1"/>
  <c r="C99" i="3" a="1"/>
  <c r="L97" i="3" a="1"/>
  <c r="N66" i="3" a="1"/>
  <c r="B61" i="3" a="1"/>
  <c r="D61" i="3" a="1"/>
  <c r="E50" i="3" a="1"/>
  <c r="J43" i="3" a="1"/>
  <c r="G116" i="3" a="1"/>
  <c r="C119" i="3" a="1"/>
  <c r="E111" i="3" a="1"/>
  <c r="F49" i="3" a="1"/>
  <c r="G99" i="3" a="1"/>
  <c r="J42" i="3" a="1"/>
  <c r="M94" i="3" a="1"/>
  <c r="K104" i="3" a="1"/>
  <c r="C58" i="3" a="1"/>
  <c r="E64" i="3" a="1"/>
  <c r="F64" i="3" a="1"/>
  <c r="C44" i="3" a="1"/>
  <c r="E48" i="3" a="1"/>
  <c r="I109" i="3" a="1"/>
  <c r="M113" i="3" a="1"/>
  <c r="M115" i="3" a="1"/>
  <c r="E61" i="3" a="1"/>
  <c r="M97" i="3" a="1"/>
  <c r="K42" i="3" a="1"/>
  <c r="M96" i="3" a="1"/>
  <c r="E65" i="3" a="1"/>
  <c r="B100" i="3" a="1"/>
  <c r="H93" i="3" a="1"/>
  <c r="B104" i="3" a="1"/>
  <c r="M99" i="3" a="1"/>
  <c r="M64" i="3" a="1"/>
  <c r="G63" i="3" a="1"/>
  <c r="N41" i="3" a="1"/>
  <c r="D42" i="3" a="1"/>
  <c r="D48" i="3" a="1"/>
  <c r="N118" i="3" a="1"/>
  <c r="B115" i="3" a="1"/>
  <c r="D101" i="3" a="1"/>
  <c r="I113" i="3" a="1"/>
  <c r="H43" i="3" a="1"/>
  <c r="B101" i="3" a="1"/>
  <c r="L103" i="3" a="1"/>
  <c r="C97" i="3" a="1"/>
  <c r="L64" i="3" a="1"/>
  <c r="F60" i="3" a="1"/>
  <c r="G52" i="3" a="1"/>
  <c r="E45" i="3" a="1"/>
  <c r="H44" i="3" a="1"/>
  <c r="C116" i="3" a="1"/>
  <c r="N111" i="3" a="1"/>
  <c r="N102" i="3" a="1"/>
  <c r="H115" i="3" a="1"/>
  <c r="E58" i="3" a="1"/>
  <c r="F117" i="3" a="1"/>
  <c r="E102" i="3" a="1"/>
  <c r="J103" i="3" a="1"/>
  <c r="L58" i="3" a="1"/>
  <c r="N65" i="3" a="1"/>
  <c r="L65" i="3" a="1"/>
  <c r="I42" i="3" a="1"/>
  <c r="K46" i="3" a="1"/>
  <c r="M119" i="3" a="1"/>
  <c r="F112" i="3" a="1"/>
  <c r="F114" i="3" a="1"/>
  <c r="I69" i="3" a="1"/>
  <c r="I93" i="3" a="1"/>
  <c r="N45" i="3" a="1"/>
  <c r="G93" i="3" a="1"/>
  <c r="D102" i="3" a="1"/>
  <c r="N98" i="3" a="1"/>
  <c r="H68" i="3" a="1"/>
  <c r="H62" i="3" a="1"/>
  <c r="C41" i="3" a="1"/>
  <c r="C51" i="3" a="1"/>
  <c r="F46" i="3" a="1"/>
  <c r="L119" i="3" a="1"/>
  <c r="L113" i="3" a="1"/>
  <c r="D103" i="3" a="1"/>
  <c r="N42" i="3" a="1"/>
  <c r="L63" i="3" a="1"/>
  <c r="C110" i="3" a="1"/>
  <c r="F96" i="3" a="1"/>
  <c r="I103" i="3" a="1"/>
  <c r="F62" i="3" a="1"/>
  <c r="B69" i="3" a="1"/>
  <c r="B32" i="3" a="1"/>
  <c r="K47" i="3" a="1"/>
  <c r="F52" i="3" a="1"/>
  <c r="F113" i="3" a="1"/>
  <c r="K119" i="3" a="1"/>
  <c r="M93" i="3" a="1"/>
  <c r="L42" i="3" a="1"/>
  <c r="J102" i="3" a="1"/>
  <c r="H120" i="3" a="1"/>
  <c r="C103" i="3" a="1"/>
  <c r="L101" i="3" a="1"/>
  <c r="I68" i="3" a="1"/>
  <c r="C64" i="3" a="1"/>
  <c r="F63" i="3" a="1"/>
  <c r="B50" i="3" a="1"/>
  <c r="L45" i="3" a="1"/>
  <c r="K120" i="3" a="1"/>
  <c r="B22" i="3" a="1"/>
  <c r="E59" i="3" a="1"/>
  <c r="N115" i="3" a="1"/>
  <c r="F101" i="3" a="1"/>
  <c r="D98" i="3" a="1"/>
  <c r="G97" i="3" a="1"/>
  <c r="G65" i="3" a="1"/>
  <c r="J60" i="3" a="1"/>
  <c r="N46" i="3" a="1"/>
  <c r="M45" i="3" a="1"/>
  <c r="L44" i="3" a="1"/>
  <c r="K116" i="3" a="1"/>
  <c r="E112" i="3" a="1"/>
  <c r="C23" i="3" a="1"/>
  <c r="G110" i="3" a="1"/>
  <c r="I49" i="3" a="1"/>
  <c r="I98" i="3" a="1"/>
  <c r="M100" i="3" a="1"/>
  <c r="J94" i="3" a="1"/>
  <c r="C68" i="3" a="1"/>
  <c r="N69" i="3" a="1"/>
  <c r="C48" i="3" a="1"/>
  <c r="C47" i="3" a="1"/>
  <c r="B42" i="3" a="1"/>
  <c r="D118" i="3" a="1"/>
  <c r="J118" i="3" a="1"/>
  <c r="I58" i="3" a="1"/>
  <c r="J120" i="3" a="1"/>
  <c r="B66" i="3" a="1"/>
  <c r="F119" i="3" a="1"/>
  <c r="F100" i="3" a="1"/>
  <c r="K98" i="3" a="1"/>
  <c r="D68" i="3" a="1"/>
  <c r="J61" i="3" a="1"/>
  <c r="L61" i="3" a="1"/>
  <c r="C52" i="3" a="1"/>
  <c r="E44" i="3" a="1"/>
  <c r="J117" i="3" a="1"/>
  <c r="K117" i="3" a="1"/>
  <c r="M111" i="3" a="1"/>
  <c r="B63" i="3" a="1"/>
  <c r="M102" i="3" a="1"/>
  <c r="H46" i="3" a="1"/>
  <c r="G100" i="3" a="1"/>
  <c r="I104" i="3" a="1"/>
  <c r="H96" i="3" a="1"/>
  <c r="I63" i="3" a="1"/>
  <c r="K59" i="3" a="1"/>
  <c r="D51" i="3" a="1"/>
  <c r="E51" i="3" a="1"/>
  <c r="M43" i="3" a="1"/>
  <c r="L120" i="3" a="1"/>
  <c r="F111" i="3" a="1"/>
  <c r="B98" i="3" a="1"/>
  <c r="E110" i="3" a="1"/>
  <c r="N60" i="3" a="1"/>
  <c r="D93" i="3" a="1"/>
  <c r="H103" i="3" a="1"/>
  <c r="C101" i="3" a="1"/>
  <c r="I59" i="3" a="1"/>
  <c r="M65" i="3" a="1"/>
  <c r="J41" i="3" a="1"/>
  <c r="G43" i="3" a="1"/>
  <c r="C50" i="3" a="1"/>
  <c r="M110" i="3" a="1"/>
  <c r="I116" i="3" a="1"/>
  <c r="H102" i="3" a="1"/>
  <c r="B43" i="3" a="1"/>
  <c r="D65" i="3" a="1"/>
  <c r="J116" i="3" a="1"/>
  <c r="L98" i="3" a="1"/>
  <c r="D97" i="3" a="1"/>
  <c r="F66" i="3" a="1"/>
  <c r="K60" i="3" a="1"/>
  <c r="M60" i="3" a="1"/>
  <c r="J49" i="3" a="1"/>
  <c r="F43" i="3" a="1"/>
  <c r="L115" i="3" a="1"/>
  <c r="H118" i="3" a="1"/>
  <c r="N110" i="3" a="1"/>
  <c r="G49" i="3" a="1"/>
  <c r="K97" i="3" a="1"/>
  <c r="K115" i="3" a="1"/>
  <c r="K50" i="3" a="1"/>
  <c r="L100" i="3" a="1"/>
  <c r="G45" i="3" a="1"/>
  <c r="M98" i="3" a="1"/>
  <c r="H101" i="3" a="1"/>
  <c r="N94" i="3" a="1"/>
  <c r="F69" i="3" a="1"/>
  <c r="I64" i="3" a="1"/>
  <c r="G48" i="3" a="1"/>
  <c r="F48" i="3" a="1"/>
  <c r="F42" i="3" a="1"/>
  <c r="L118" i="3" a="1"/>
  <c r="D120" i="3" a="1"/>
  <c r="G64" i="3" a="1"/>
  <c r="M101" i="3" a="1"/>
  <c r="C49" i="3" a="1"/>
  <c r="C96" i="3" a="1"/>
  <c r="J95" i="3" a="1"/>
  <c r="K58" i="3" a="1"/>
  <c r="E62" i="3" a="1"/>
  <c r="L66" i="3" a="1"/>
  <c r="F45" i="3" a="1"/>
  <c r="H49" i="3" a="1"/>
  <c r="N109" i="3" a="1"/>
  <c r="C115" i="3" a="1"/>
  <c r="L117" i="3" a="1"/>
  <c r="J66" i="3" a="1"/>
  <c r="J115" i="3" a="1"/>
  <c r="N68" i="3" a="1"/>
  <c r="L112" i="3" a="1"/>
  <c r="N96" i="3" a="1"/>
  <c r="C94" i="3" a="1"/>
  <c r="E63" i="3" a="1"/>
  <c r="J67" i="3" a="1"/>
  <c r="F59" i="3" a="1"/>
  <c r="H50" i="3" a="1"/>
  <c r="L52" i="3" a="1"/>
  <c r="N113" i="3" a="1"/>
  <c r="C117" i="3" a="1"/>
  <c r="B12" i="3" a="1"/>
  <c r="E46" i="3" a="1"/>
  <c r="G95" i="3" a="1"/>
  <c r="E49" i="3" a="1"/>
  <c r="N97" i="3" a="1"/>
  <c r="J99" i="3" a="1"/>
  <c r="B94" i="3" a="1"/>
  <c r="E66" i="3" a="1"/>
  <c r="L67" i="3" a="1"/>
  <c r="H47" i="3" a="1"/>
  <c r="N51" i="3" a="1"/>
  <c r="M50" i="3" a="1"/>
  <c r="E117" i="3" a="1"/>
  <c r="B120" i="3" a="1"/>
  <c r="K61" i="3" a="1"/>
  <c r="M117" i="3" a="1"/>
  <c r="H41" i="3" a="1"/>
  <c r="C93" i="3" a="1"/>
  <c r="E101" i="3" a="1"/>
  <c r="J98" i="3" a="1"/>
  <c r="M67" i="3" a="1"/>
  <c r="M61" i="3" a="1"/>
  <c r="M51" i="3" a="1"/>
  <c r="M49" i="3" a="1"/>
  <c r="B46" i="3" a="1"/>
  <c r="D119" i="3" a="1"/>
  <c r="H113" i="3" a="1"/>
  <c r="H97" i="3" a="1"/>
  <c r="K109" i="3" a="1"/>
  <c r="G68" i="3" a="1"/>
  <c r="B119" i="3" a="1"/>
  <c r="B96" i="3" a="1"/>
  <c r="E103" i="3" a="1"/>
  <c r="B62" i="3" a="1"/>
  <c r="H67" i="3" a="1"/>
  <c r="B30" i="3" a="1"/>
  <c r="L46" i="3" a="1"/>
  <c r="G51" i="3" a="1"/>
  <c r="B113" i="3" a="1"/>
  <c r="I120" i="3" a="1"/>
  <c r="H99" i="3" a="1"/>
  <c r="G61" i="3" a="1"/>
  <c r="I110" i="3" a="1"/>
  <c r="G96" i="3" a="1"/>
  <c r="E96" i="3" a="1"/>
  <c r="B58" i="3" a="1"/>
  <c r="M62" i="3" a="1"/>
  <c r="G67" i="3" a="1"/>
  <c r="J45" i="3" a="1"/>
  <c r="L49" i="3" a="1"/>
  <c r="C109" i="3" a="1"/>
  <c r="G115" i="3" a="1"/>
  <c r="G118" i="3" a="1"/>
  <c r="M68" i="3" a="1"/>
  <c r="J101" i="3" a="1"/>
  <c r="D115" i="3" a="1"/>
  <c r="C104" i="3" a="1"/>
  <c r="E104" i="3" a="1"/>
  <c r="M58" i="3" a="1"/>
  <c r="I66" i="3" a="1"/>
  <c r="N67" i="3" a="1"/>
  <c r="M42" i="3" a="1"/>
  <c r="B47" i="3" a="1"/>
  <c r="D109" i="3" a="1"/>
  <c r="J112" i="3" a="1"/>
  <c r="J114" i="3" a="1"/>
  <c r="J64" i="3" a="1"/>
  <c r="J110" i="3" a="1"/>
  <c r="K62" i="3" a="1"/>
  <c r="E93" i="3" a="1"/>
  <c r="H94" i="3" a="1"/>
  <c r="K101" i="3" a="1"/>
  <c r="D60" i="3" a="1"/>
  <c r="C67" i="3" a="1"/>
  <c r="L41" i="3" a="1"/>
  <c r="F44" i="3" a="1"/>
  <c r="E52" i="3" a="1"/>
  <c r="H111" i="3" a="1"/>
  <c r="H117" i="3" a="1"/>
  <c r="I94" i="3" a="1"/>
  <c r="L50" i="3" a="1"/>
  <c r="I100" i="3" a="1"/>
  <c r="L109" i="3" a="1"/>
  <c r="H95" i="3" a="1"/>
  <c r="G94" i="3" a="1"/>
  <c r="J58" i="3" a="1"/>
  <c r="H69" i="3" a="1"/>
  <c r="I65" i="3" a="1"/>
  <c r="K44" i="3" a="1"/>
  <c r="M48" i="3" a="1"/>
  <c r="F109" i="3" a="1"/>
  <c r="H114" i="3" a="1"/>
  <c r="E116" i="3" a="1"/>
  <c r="H63" i="3" a="1"/>
  <c r="C113" i="3" a="1"/>
  <c r="H48" i="3" a="1"/>
  <c r="C100" i="3" a="1"/>
  <c r="N103" i="3" a="1"/>
  <c r="D96" i="3" a="1"/>
  <c r="J62" i="3" a="1"/>
  <c r="G59" i="3" a="1"/>
  <c r="I50" i="3" a="1"/>
  <c r="N52" i="3" a="1"/>
  <c r="I43" i="3" a="1"/>
  <c r="E119" i="3" a="1"/>
  <c r="B111" i="3" a="1"/>
  <c r="I95" i="3" a="1"/>
  <c r="N117" i="3" a="1"/>
  <c r="K66" i="3" a="1"/>
  <c r="N93" i="3" a="1"/>
  <c r="I102" i="3" a="1"/>
  <c r="C43" i="3" a="1"/>
  <c r="B110" i="3" l="1"/>
  <c r="F110" i="3"/>
  <c r="J110" i="3"/>
  <c r="N110" i="3"/>
  <c r="E111" i="3"/>
  <c r="I111" i="3"/>
  <c r="M111" i="3"/>
  <c r="D112" i="3"/>
  <c r="H112" i="3"/>
  <c r="L112" i="3"/>
  <c r="C113" i="3"/>
  <c r="G113" i="3"/>
  <c r="K113" i="3"/>
  <c r="B114" i="3"/>
  <c r="F114" i="3"/>
  <c r="J114" i="3"/>
  <c r="N114" i="3"/>
  <c r="E115" i="3"/>
  <c r="I115" i="3"/>
  <c r="M115" i="3"/>
  <c r="K114" i="3"/>
  <c r="E116" i="3"/>
  <c r="D117" i="3"/>
  <c r="L117" i="3"/>
  <c r="G118" i="3"/>
  <c r="B119" i="3"/>
  <c r="J119" i="3"/>
  <c r="E120" i="3"/>
  <c r="M120" i="3"/>
  <c r="B120" i="3"/>
  <c r="D116" i="3"/>
  <c r="J118" i="3"/>
  <c r="D120" i="3"/>
  <c r="C110" i="3"/>
  <c r="G110" i="3"/>
  <c r="K110" i="3"/>
  <c r="B111" i="3"/>
  <c r="F111" i="3"/>
  <c r="J111" i="3"/>
  <c r="N111" i="3"/>
  <c r="E112" i="3"/>
  <c r="I112" i="3"/>
  <c r="M112" i="3"/>
  <c r="D113" i="3"/>
  <c r="H113" i="3"/>
  <c r="L113" i="3"/>
  <c r="C114" i="3"/>
  <c r="G114" i="3"/>
  <c r="B115" i="3"/>
  <c r="F115" i="3"/>
  <c r="J115" i="3"/>
  <c r="N115" i="3"/>
  <c r="I116" i="3"/>
  <c r="M116" i="3"/>
  <c r="H117" i="3"/>
  <c r="C118" i="3"/>
  <c r="K118" i="3"/>
  <c r="F119" i="3"/>
  <c r="N119" i="3"/>
  <c r="I120" i="3"/>
  <c r="K119" i="3"/>
  <c r="N120" i="3"/>
  <c r="C117" i="3"/>
  <c r="F118" i="3"/>
  <c r="I119" i="3"/>
  <c r="J116" i="3"/>
  <c r="M117" i="3"/>
  <c r="H118" i="3"/>
  <c r="C119" i="3"/>
  <c r="F120" i="3"/>
  <c r="K117" i="3"/>
  <c r="D110" i="3"/>
  <c r="H110" i="3"/>
  <c r="L110" i="3"/>
  <c r="C111" i="3"/>
  <c r="G111" i="3"/>
  <c r="K111" i="3"/>
  <c r="B112" i="3"/>
  <c r="F112" i="3"/>
  <c r="J112" i="3"/>
  <c r="N112" i="3"/>
  <c r="E113" i="3"/>
  <c r="I113" i="3"/>
  <c r="M113" i="3"/>
  <c r="D114" i="3"/>
  <c r="H114" i="3"/>
  <c r="L114" i="3"/>
  <c r="C115" i="3"/>
  <c r="G115" i="3"/>
  <c r="K115" i="3"/>
  <c r="B116" i="3"/>
  <c r="F116" i="3"/>
  <c r="N116" i="3"/>
  <c r="E117" i="3"/>
  <c r="I117" i="3"/>
  <c r="D118" i="3"/>
  <c r="L118" i="3"/>
  <c r="G119" i="3"/>
  <c r="J120" i="3"/>
  <c r="G117" i="3"/>
  <c r="E119" i="3"/>
  <c r="L120" i="3"/>
  <c r="E114" i="3"/>
  <c r="C116" i="3"/>
  <c r="K116" i="3"/>
  <c r="F117" i="3"/>
  <c r="N117" i="3"/>
  <c r="I118" i="3"/>
  <c r="D119" i="3"/>
  <c r="L119" i="3"/>
  <c r="G120" i="3"/>
  <c r="H116" i="3"/>
  <c r="N118" i="3"/>
  <c r="H120" i="3"/>
  <c r="E110" i="3"/>
  <c r="I110" i="3"/>
  <c r="M110" i="3"/>
  <c r="D111" i="3"/>
  <c r="H111" i="3"/>
  <c r="L111" i="3"/>
  <c r="C112" i="3"/>
  <c r="G112" i="3"/>
  <c r="K112" i="3"/>
  <c r="B113" i="3"/>
  <c r="F113" i="3"/>
  <c r="J113" i="3"/>
  <c r="N113" i="3"/>
  <c r="I114" i="3"/>
  <c r="M114" i="3"/>
  <c r="D115" i="3"/>
  <c r="H115" i="3"/>
  <c r="L115" i="3"/>
  <c r="G116" i="3"/>
  <c r="B117" i="3"/>
  <c r="J117" i="3"/>
  <c r="E118" i="3"/>
  <c r="M118" i="3"/>
  <c r="H119" i="3"/>
  <c r="C120" i="3"/>
  <c r="K120" i="3"/>
  <c r="L116" i="3"/>
  <c r="B118" i="3"/>
  <c r="M119" i="3"/>
  <c r="D109" i="3"/>
  <c r="H109" i="3"/>
  <c r="L109" i="3"/>
  <c r="E109" i="3"/>
  <c r="I109" i="3"/>
  <c r="M109" i="3"/>
  <c r="F109" i="3"/>
  <c r="J109" i="3"/>
  <c r="N109" i="3"/>
  <c r="C109" i="3"/>
  <c r="G109" i="3"/>
  <c r="K109" i="3"/>
  <c r="B109" i="3"/>
  <c r="E32" i="3"/>
  <c r="M50" i="3"/>
  <c r="B41" i="3"/>
  <c r="B42" i="3"/>
  <c r="F42" i="3"/>
  <c r="J42" i="3"/>
  <c r="N42" i="3"/>
  <c r="E43" i="3"/>
  <c r="I43" i="3"/>
  <c r="M43" i="3"/>
  <c r="D44" i="3"/>
  <c r="H44" i="3"/>
  <c r="L44" i="3"/>
  <c r="C45" i="3"/>
  <c r="G45" i="3"/>
  <c r="K45" i="3"/>
  <c r="B46" i="3"/>
  <c r="F46" i="3"/>
  <c r="J46" i="3"/>
  <c r="I47" i="3"/>
  <c r="D48" i="3"/>
  <c r="C49" i="3"/>
  <c r="F50" i="3"/>
  <c r="H52" i="3"/>
  <c r="C50" i="3"/>
  <c r="J51" i="3"/>
  <c r="E52" i="3"/>
  <c r="M52" i="3"/>
  <c r="B48" i="3"/>
  <c r="E49" i="3"/>
  <c r="D50" i="3"/>
  <c r="G51" i="3"/>
  <c r="F52" i="3"/>
  <c r="J50" i="3"/>
  <c r="L52" i="3"/>
  <c r="C42" i="3"/>
  <c r="G42" i="3"/>
  <c r="K42" i="3"/>
  <c r="B43" i="3"/>
  <c r="F43" i="3"/>
  <c r="J43" i="3"/>
  <c r="N43" i="3"/>
  <c r="E44" i="3"/>
  <c r="I44" i="3"/>
  <c r="M44" i="3"/>
  <c r="D45" i="3"/>
  <c r="H45" i="3"/>
  <c r="L45" i="3"/>
  <c r="C46" i="3"/>
  <c r="G46" i="3"/>
  <c r="K46" i="3"/>
  <c r="B47" i="3"/>
  <c r="F47" i="3"/>
  <c r="J47" i="3"/>
  <c r="N47" i="3"/>
  <c r="E48" i="3"/>
  <c r="I48" i="3"/>
  <c r="M48" i="3"/>
  <c r="D49" i="3"/>
  <c r="H49" i="3"/>
  <c r="L49" i="3"/>
  <c r="G50" i="3"/>
  <c r="K50" i="3"/>
  <c r="B51" i="3"/>
  <c r="F51" i="3"/>
  <c r="N51" i="3"/>
  <c r="I52" i="3"/>
  <c r="C47" i="3"/>
  <c r="F48" i="3"/>
  <c r="I49" i="3"/>
  <c r="L50" i="3"/>
  <c r="K51" i="3"/>
  <c r="N52" i="3"/>
  <c r="E51" i="3"/>
  <c r="B44" i="3"/>
  <c r="E45" i="3"/>
  <c r="M45" i="3"/>
  <c r="H46" i="3"/>
  <c r="G47" i="3"/>
  <c r="J48" i="3"/>
  <c r="M49" i="3"/>
  <c r="C51" i="3"/>
  <c r="J52" i="3"/>
  <c r="N50" i="3"/>
  <c r="D42" i="3"/>
  <c r="H42" i="3"/>
  <c r="L42" i="3"/>
  <c r="C43" i="3"/>
  <c r="G43" i="3"/>
  <c r="K43" i="3"/>
  <c r="F44" i="3"/>
  <c r="J44" i="3"/>
  <c r="N44" i="3"/>
  <c r="I45" i="3"/>
  <c r="D46" i="3"/>
  <c r="L46" i="3"/>
  <c r="K47" i="3"/>
  <c r="N48" i="3"/>
  <c r="H50" i="3"/>
  <c r="B52" i="3"/>
  <c r="I51" i="3"/>
  <c r="D47" i="3"/>
  <c r="K48" i="3"/>
  <c r="J49" i="3"/>
  <c r="E50" i="3"/>
  <c r="H51" i="3"/>
  <c r="C52" i="3"/>
  <c r="K52" i="3"/>
  <c r="E47" i="3"/>
  <c r="H48" i="3"/>
  <c r="G49" i="3"/>
  <c r="B50" i="3"/>
  <c r="D52" i="3"/>
  <c r="E42" i="3"/>
  <c r="I42" i="3"/>
  <c r="M42" i="3"/>
  <c r="D43" i="3"/>
  <c r="H43" i="3"/>
  <c r="L43" i="3"/>
  <c r="C44" i="3"/>
  <c r="G44" i="3"/>
  <c r="K44" i="3"/>
  <c r="B45" i="3"/>
  <c r="F45" i="3"/>
  <c r="J45" i="3"/>
  <c r="N45" i="3"/>
  <c r="E46" i="3"/>
  <c r="I46" i="3"/>
  <c r="M46" i="3"/>
  <c r="H47" i="3"/>
  <c r="L47" i="3"/>
  <c r="C48" i="3"/>
  <c r="G48" i="3"/>
  <c r="B49" i="3"/>
  <c r="F49" i="3"/>
  <c r="N49" i="3"/>
  <c r="I50" i="3"/>
  <c r="D51" i="3"/>
  <c r="L51" i="3"/>
  <c r="G52" i="3"/>
  <c r="N46" i="3"/>
  <c r="M47" i="3"/>
  <c r="L48" i="3"/>
  <c r="K49" i="3"/>
  <c r="M51" i="3"/>
  <c r="C41" i="3"/>
  <c r="G41" i="3"/>
  <c r="K41" i="3"/>
  <c r="N41" i="3"/>
  <c r="H41" i="3"/>
  <c r="E41" i="3"/>
  <c r="M41" i="3"/>
  <c r="J41" i="3"/>
  <c r="D41" i="3"/>
  <c r="L41" i="3"/>
  <c r="I41" i="3"/>
  <c r="F41" i="3"/>
  <c r="B23" i="3"/>
  <c r="B22" i="3"/>
  <c r="B30" i="3"/>
  <c r="B32" i="3"/>
  <c r="B59" i="3"/>
  <c r="F59" i="3"/>
  <c r="J59" i="3"/>
  <c r="N59" i="3"/>
  <c r="E60" i="3"/>
  <c r="I60" i="3"/>
  <c r="M60" i="3"/>
  <c r="D61" i="3"/>
  <c r="H61" i="3"/>
  <c r="L61" i="3"/>
  <c r="C62" i="3"/>
  <c r="G62" i="3"/>
  <c r="K62" i="3"/>
  <c r="B63" i="3"/>
  <c r="F63" i="3"/>
  <c r="J63" i="3"/>
  <c r="N63" i="3"/>
  <c r="L65" i="3"/>
  <c r="N67" i="3"/>
  <c r="L69" i="3"/>
  <c r="D62" i="3"/>
  <c r="K63" i="3"/>
  <c r="F64" i="3"/>
  <c r="N64" i="3"/>
  <c r="I65" i="3"/>
  <c r="D66" i="3"/>
  <c r="L66" i="3"/>
  <c r="G67" i="3"/>
  <c r="B68" i="3"/>
  <c r="J68" i="3"/>
  <c r="E69" i="3"/>
  <c r="M69" i="3"/>
  <c r="L67" i="3"/>
  <c r="K68" i="3"/>
  <c r="N69" i="3"/>
  <c r="I64" i="3"/>
  <c r="K66" i="3"/>
  <c r="M68" i="3"/>
  <c r="C59" i="3"/>
  <c r="G59" i="3"/>
  <c r="K59" i="3"/>
  <c r="B60" i="3"/>
  <c r="F60" i="3"/>
  <c r="J60" i="3"/>
  <c r="N60" i="3"/>
  <c r="E61" i="3"/>
  <c r="I61" i="3"/>
  <c r="M61" i="3"/>
  <c r="H62" i="3"/>
  <c r="L62" i="3"/>
  <c r="C63" i="3"/>
  <c r="G63" i="3"/>
  <c r="B64" i="3"/>
  <c r="J64" i="3"/>
  <c r="E65" i="3"/>
  <c r="M65" i="3"/>
  <c r="H66" i="3"/>
  <c r="C67" i="3"/>
  <c r="K67" i="3"/>
  <c r="F68" i="3"/>
  <c r="N68" i="3"/>
  <c r="I69" i="3"/>
  <c r="H67" i="3"/>
  <c r="B69" i="3"/>
  <c r="H65" i="3"/>
  <c r="J67" i="3"/>
  <c r="D59" i="3"/>
  <c r="H59" i="3"/>
  <c r="L59" i="3"/>
  <c r="C60" i="3"/>
  <c r="K60" i="3"/>
  <c r="B61" i="3"/>
  <c r="F61" i="3"/>
  <c r="J61" i="3"/>
  <c r="N61" i="3"/>
  <c r="I62" i="3"/>
  <c r="D63" i="3"/>
  <c r="H63" i="3"/>
  <c r="C64" i="3"/>
  <c r="K64" i="3"/>
  <c r="F65" i="3"/>
  <c r="N65" i="3"/>
  <c r="I66" i="3"/>
  <c r="D67" i="3"/>
  <c r="G68" i="3"/>
  <c r="J69" i="3"/>
  <c r="E64" i="3"/>
  <c r="B67" i="3"/>
  <c r="H69" i="3"/>
  <c r="G60" i="3"/>
  <c r="E62" i="3"/>
  <c r="M62" i="3"/>
  <c r="L63" i="3"/>
  <c r="G64" i="3"/>
  <c r="B65" i="3"/>
  <c r="J65" i="3"/>
  <c r="E66" i="3"/>
  <c r="M66" i="3"/>
  <c r="C68" i="3"/>
  <c r="F69" i="3"/>
  <c r="C66" i="3"/>
  <c r="E68" i="3"/>
  <c r="C61" i="3"/>
  <c r="J62" i="3"/>
  <c r="I63" i="3"/>
  <c r="D64" i="3"/>
  <c r="L64" i="3"/>
  <c r="G65" i="3"/>
  <c r="B66" i="3"/>
  <c r="J66" i="3"/>
  <c r="E67" i="3"/>
  <c r="M67" i="3"/>
  <c r="H68" i="3"/>
  <c r="C69" i="3"/>
  <c r="K69" i="3"/>
  <c r="M64" i="3"/>
  <c r="F67" i="3"/>
  <c r="D69" i="3"/>
  <c r="E59" i="3"/>
  <c r="I59" i="3"/>
  <c r="M59" i="3"/>
  <c r="D60" i="3"/>
  <c r="H60" i="3"/>
  <c r="L60" i="3"/>
  <c r="G61" i="3"/>
  <c r="K61" i="3"/>
  <c r="B62" i="3"/>
  <c r="F62" i="3"/>
  <c r="N62" i="3"/>
  <c r="E63" i="3"/>
  <c r="M63" i="3"/>
  <c r="H64" i="3"/>
  <c r="C65" i="3"/>
  <c r="K65" i="3"/>
  <c r="F66" i="3"/>
  <c r="N66" i="3"/>
  <c r="I67" i="3"/>
  <c r="D68" i="3"/>
  <c r="L68" i="3"/>
  <c r="G69" i="3"/>
  <c r="D65" i="3"/>
  <c r="G66" i="3"/>
  <c r="I68" i="3"/>
  <c r="D58" i="3"/>
  <c r="H58" i="3"/>
  <c r="L58" i="3"/>
  <c r="M58" i="3"/>
  <c r="G58" i="3"/>
  <c r="E58" i="3"/>
  <c r="I58" i="3"/>
  <c r="C58" i="3"/>
  <c r="F58" i="3"/>
  <c r="J58" i="3"/>
  <c r="N58" i="3"/>
  <c r="K58" i="3"/>
  <c r="B58" i="3"/>
  <c r="C22" i="3"/>
  <c r="C23" i="3"/>
  <c r="C32" i="3"/>
  <c r="C30" i="3"/>
  <c r="B94" i="3"/>
  <c r="F94" i="3"/>
  <c r="J94" i="3"/>
  <c r="N94" i="3"/>
  <c r="E95" i="3"/>
  <c r="I95" i="3"/>
  <c r="M95" i="3"/>
  <c r="D96" i="3"/>
  <c r="H96" i="3"/>
  <c r="L96" i="3"/>
  <c r="C97" i="3"/>
  <c r="G97" i="3"/>
  <c r="K97" i="3"/>
  <c r="B98" i="3"/>
  <c r="F98" i="3"/>
  <c r="J98" i="3"/>
  <c r="N98" i="3"/>
  <c r="E99" i="3"/>
  <c r="I99" i="3"/>
  <c r="M99" i="3"/>
  <c r="D100" i="3"/>
  <c r="H100" i="3"/>
  <c r="L100" i="3"/>
  <c r="C101" i="3"/>
  <c r="G101" i="3"/>
  <c r="K101" i="3"/>
  <c r="B102" i="3"/>
  <c r="F102" i="3"/>
  <c r="J102" i="3"/>
  <c r="N102" i="3"/>
  <c r="E103" i="3"/>
  <c r="I103" i="3"/>
  <c r="M103" i="3"/>
  <c r="C94" i="3"/>
  <c r="K94" i="3"/>
  <c r="F95" i="3"/>
  <c r="N95" i="3"/>
  <c r="I96" i="3"/>
  <c r="D97" i="3"/>
  <c r="L97" i="3"/>
  <c r="G98" i="3"/>
  <c r="K98" i="3"/>
  <c r="F99" i="3"/>
  <c r="N99" i="3"/>
  <c r="I100" i="3"/>
  <c r="D101" i="3"/>
  <c r="L101" i="3"/>
  <c r="G102" i="3"/>
  <c r="B103" i="3"/>
  <c r="J103" i="3"/>
  <c r="E104" i="3"/>
  <c r="M104" i="3"/>
  <c r="J101" i="3"/>
  <c r="D103" i="3"/>
  <c r="K104" i="3"/>
  <c r="H104" i="3"/>
  <c r="G94" i="3"/>
  <c r="B95" i="3"/>
  <c r="J95" i="3"/>
  <c r="E96" i="3"/>
  <c r="M96" i="3"/>
  <c r="H97" i="3"/>
  <c r="C98" i="3"/>
  <c r="B99" i="3"/>
  <c r="J99" i="3"/>
  <c r="E100" i="3"/>
  <c r="M100" i="3"/>
  <c r="H101" i="3"/>
  <c r="C102" i="3"/>
  <c r="K102" i="3"/>
  <c r="F103" i="3"/>
  <c r="N103" i="3"/>
  <c r="I104" i="3"/>
  <c r="N101" i="3"/>
  <c r="L103" i="3"/>
  <c r="D98" i="3"/>
  <c r="G99" i="3"/>
  <c r="B100" i="3"/>
  <c r="J100" i="3"/>
  <c r="E101" i="3"/>
  <c r="D102" i="3"/>
  <c r="L102" i="3"/>
  <c r="G103" i="3"/>
  <c r="B104" i="3"/>
  <c r="F104" i="3"/>
  <c r="N104" i="3"/>
  <c r="I102" i="3"/>
  <c r="H103" i="3"/>
  <c r="D94" i="3"/>
  <c r="H94" i="3"/>
  <c r="L94" i="3"/>
  <c r="C95" i="3"/>
  <c r="G95" i="3"/>
  <c r="K95" i="3"/>
  <c r="B96" i="3"/>
  <c r="F96" i="3"/>
  <c r="J96" i="3"/>
  <c r="N96" i="3"/>
  <c r="E97" i="3"/>
  <c r="I97" i="3"/>
  <c r="M97" i="3"/>
  <c r="H98" i="3"/>
  <c r="L98" i="3"/>
  <c r="C99" i="3"/>
  <c r="K99" i="3"/>
  <c r="F100" i="3"/>
  <c r="N100" i="3"/>
  <c r="I101" i="3"/>
  <c r="M101" i="3"/>
  <c r="H102" i="3"/>
  <c r="C103" i="3"/>
  <c r="K103" i="3"/>
  <c r="J104" i="3"/>
  <c r="E102" i="3"/>
  <c r="C104" i="3"/>
  <c r="L104" i="3"/>
  <c r="E94" i="3"/>
  <c r="I94" i="3"/>
  <c r="M94" i="3"/>
  <c r="D95" i="3"/>
  <c r="H95" i="3"/>
  <c r="L95" i="3"/>
  <c r="C96" i="3"/>
  <c r="G96" i="3"/>
  <c r="K96" i="3"/>
  <c r="B97" i="3"/>
  <c r="F97" i="3"/>
  <c r="J97" i="3"/>
  <c r="N97" i="3"/>
  <c r="E98" i="3"/>
  <c r="I98" i="3"/>
  <c r="M98" i="3"/>
  <c r="D99" i="3"/>
  <c r="H99" i="3"/>
  <c r="L99" i="3"/>
  <c r="C100" i="3"/>
  <c r="G100" i="3"/>
  <c r="K100" i="3"/>
  <c r="B101" i="3"/>
  <c r="F101" i="3"/>
  <c r="M102" i="3"/>
  <c r="G104" i="3"/>
  <c r="D104" i="3"/>
  <c r="C93" i="3"/>
  <c r="G93" i="3"/>
  <c r="K93" i="3"/>
  <c r="F93" i="3"/>
  <c r="H93" i="3"/>
  <c r="I93" i="3"/>
  <c r="M93" i="3"/>
  <c r="N93" i="3"/>
  <c r="D93" i="3"/>
  <c r="L93" i="3"/>
  <c r="E93" i="3"/>
  <c r="J93" i="3"/>
  <c r="B93" i="3"/>
  <c r="D32" i="3"/>
  <c r="D21" i="3"/>
  <c r="D14" i="3"/>
  <c r="D19" i="3" s="1"/>
  <c r="D16" i="3" s="1"/>
  <c r="E21" i="3"/>
  <c r="E14" i="3"/>
  <c r="E19" i="3" s="1"/>
  <c r="E16" i="3" s="1"/>
  <c r="B12" i="3"/>
  <c r="C12" i="3"/>
  <c r="C14" i="3" s="1"/>
  <c r="L84" i="3" a="1"/>
  <c r="H129" i="3" a="1"/>
  <c r="C125" i="3" a="1"/>
  <c r="H85" i="3" a="1"/>
  <c r="J125" i="3" a="1"/>
  <c r="K85" i="3" a="1"/>
  <c r="D80" i="3" a="1"/>
  <c r="B86" i="3" a="1"/>
  <c r="M86" i="3" a="1"/>
  <c r="N133" i="3" a="1"/>
  <c r="G128" i="3" a="1"/>
  <c r="K79" i="3" a="1"/>
  <c r="J134" i="3" a="1"/>
  <c r="L133" i="3" a="1"/>
  <c r="N83" i="3" a="1"/>
  <c r="E80" i="3" a="1"/>
  <c r="G136" i="3" a="1"/>
  <c r="C127" i="3" a="1"/>
  <c r="G84" i="3" a="1"/>
  <c r="C133" i="3" a="1"/>
  <c r="I136" i="3" a="1"/>
  <c r="E136" i="3" a="1"/>
  <c r="G125" i="3" a="1"/>
  <c r="B83" i="3" a="1"/>
  <c r="N134" i="3" a="1"/>
  <c r="C131" i="3" a="1"/>
  <c r="I87" i="3" a="1"/>
  <c r="C128" i="3" a="1"/>
  <c r="C84" i="3" a="1"/>
  <c r="F78" i="3" a="1"/>
  <c r="D87" i="3" a="1"/>
  <c r="J135" i="3" a="1"/>
  <c r="I129" i="3" a="1"/>
  <c r="B79" i="3" a="1"/>
  <c r="G80" i="3" a="1"/>
  <c r="I134" i="3" a="1"/>
  <c r="D86" i="3" a="1"/>
  <c r="M77" i="3" a="1"/>
  <c r="D126" i="3" a="1"/>
  <c r="N128" i="3" a="1"/>
  <c r="D135" i="3" a="1"/>
  <c r="I126" i="3" a="1"/>
  <c r="I132" i="3" a="1"/>
  <c r="B127" i="3" a="1"/>
  <c r="N81" i="3" a="1"/>
  <c r="B129" i="3" a="1"/>
  <c r="I83" i="3" a="1"/>
  <c r="F126" i="3" a="1"/>
  <c r="N131" i="3" a="1"/>
  <c r="F135" i="3" a="1"/>
  <c r="H83" i="3" a="1"/>
  <c r="I81" i="3" a="1"/>
  <c r="J86" i="3" a="1"/>
  <c r="B77" i="3" a="1"/>
  <c r="F136" i="3" a="1"/>
  <c r="F132" i="3" a="1"/>
  <c r="B78" i="3" a="1"/>
  <c r="C135" i="3" a="1"/>
  <c r="B126" i="3" a="1"/>
  <c r="G87" i="3" a="1"/>
  <c r="J136" i="3" a="1"/>
  <c r="D83" i="3" a="1"/>
  <c r="H132" i="3" a="1"/>
  <c r="F128" i="3" a="1"/>
  <c r="D84" i="3" a="1"/>
  <c r="C136" i="3" a="1"/>
  <c r="E82" i="3" a="1"/>
  <c r="I86" i="3" a="1"/>
  <c r="K127" i="3" a="1"/>
  <c r="C85" i="3" a="1"/>
  <c r="L82" i="3" a="1"/>
  <c r="N126" i="3" a="1"/>
  <c r="H77" i="3" a="1"/>
  <c r="J84" i="3" a="1"/>
  <c r="M85" i="3" a="1"/>
  <c r="E134" i="3" a="1"/>
  <c r="M128" i="3" a="1"/>
  <c r="J126" i="3" a="1"/>
  <c r="G82" i="3" a="1"/>
  <c r="N125" i="3" a="1"/>
  <c r="G130" i="3" a="1"/>
  <c r="I131" i="3" a="1"/>
  <c r="K125" i="3" a="1"/>
  <c r="K77" i="3" a="1"/>
  <c r="E83" i="3" a="1"/>
  <c r="I85" i="3" a="1"/>
  <c r="E132" i="3" a="1"/>
  <c r="L136" i="3" a="1"/>
  <c r="M83" i="3" a="1"/>
  <c r="D132" i="3" a="1"/>
  <c r="D129" i="3" a="1"/>
  <c r="K78" i="3" a="1"/>
  <c r="C82" i="3" a="1"/>
  <c r="I125" i="3" a="1"/>
  <c r="G129" i="3" a="1"/>
  <c r="K83" i="3" a="1"/>
  <c r="D128" i="3" a="1"/>
  <c r="J131" i="3" a="1"/>
  <c r="F131" i="3" a="1"/>
  <c r="M133" i="3" a="1"/>
  <c r="N79" i="3" a="1"/>
  <c r="N136" i="3" a="1"/>
  <c r="B80" i="3" a="1"/>
  <c r="N76" i="3" a="1"/>
  <c r="J133" i="3" a="1"/>
  <c r="J77" i="3" a="1"/>
  <c r="H87" i="3" a="1"/>
  <c r="K82" i="3" a="1"/>
  <c r="C126" i="3" a="1"/>
  <c r="H76" i="3" a="1"/>
  <c r="F130" i="3" a="1"/>
  <c r="I79" i="3" a="1"/>
  <c r="E126" i="3" a="1"/>
  <c r="H136" i="3" a="1"/>
  <c r="G135" i="3" a="1"/>
  <c r="L79" i="3" a="1"/>
  <c r="B136" i="3" a="1"/>
  <c r="K133" i="3" a="1"/>
  <c r="C78" i="3" a="1"/>
  <c r="N77" i="3" a="1"/>
  <c r="F82" i="3" a="1"/>
  <c r="G86" i="3" a="1"/>
  <c r="F87" i="3" a="1"/>
  <c r="L86" i="3" a="1"/>
  <c r="G134" i="3" a="1"/>
  <c r="I133" i="3" a="1"/>
  <c r="B81" i="3" a="1"/>
  <c r="D130" i="3" a="1"/>
  <c r="N86" i="3" a="1"/>
  <c r="K128" i="3" a="1"/>
  <c r="L83" i="3" a="1"/>
  <c r="E87" i="3" a="1"/>
  <c r="M82" i="3" a="1"/>
  <c r="H135" i="3" a="1"/>
  <c r="G78" i="3" a="1"/>
  <c r="B131" i="3" a="1"/>
  <c r="J132" i="3" a="1"/>
  <c r="C132" i="3" a="1"/>
  <c r="C81" i="3" a="1"/>
  <c r="E77" i="3" a="1"/>
  <c r="L80" i="3" a="1"/>
  <c r="D82" i="3" a="1"/>
  <c r="C79" i="3" a="1"/>
  <c r="F81" i="3" a="1"/>
  <c r="E130" i="3" a="1"/>
  <c r="G131" i="3" a="1"/>
  <c r="K130" i="3" a="1"/>
  <c r="D85" i="3" a="1"/>
  <c r="L130" i="3" a="1"/>
  <c r="D76" i="3" a="1"/>
  <c r="C83" i="3" a="1"/>
  <c r="K131" i="3" a="1"/>
  <c r="B130" i="3" a="1"/>
  <c r="K81" i="3" a="1"/>
  <c r="N132" i="3" a="1"/>
  <c r="C80" i="3" a="1"/>
  <c r="K80" i="3" a="1"/>
  <c r="H133" i="3" a="1"/>
  <c r="L81" i="3" a="1"/>
  <c r="D134" i="3" a="1"/>
  <c r="L76" i="3" a="1"/>
  <c r="C130" i="3" a="1"/>
  <c r="E84" i="3" a="1"/>
  <c r="K129" i="3" a="1"/>
  <c r="E135" i="3" a="1"/>
  <c r="C86" i="3" a="1"/>
  <c r="H84" i="3" a="1"/>
  <c r="M134" i="3" a="1"/>
  <c r="I130" i="3" a="1"/>
  <c r="D81" i="3" a="1"/>
  <c r="M81" i="3" a="1"/>
  <c r="G126" i="3" a="1"/>
  <c r="K126" i="3" a="1"/>
  <c r="H125" i="3" a="1"/>
  <c r="D77" i="3" a="1"/>
  <c r="B132" i="3" a="1"/>
  <c r="I78" i="3" a="1"/>
  <c r="I77" i="3" a="1"/>
  <c r="D78" i="3" a="1"/>
  <c r="I128" i="3" a="1"/>
  <c r="G85" i="3" a="1"/>
  <c r="J83" i="3" a="1"/>
  <c r="J130" i="3" a="1"/>
  <c r="H126" i="3" a="1"/>
  <c r="F133" i="3" a="1"/>
  <c r="J129" i="3" a="1"/>
  <c r="B84" i="3" a="1"/>
  <c r="M76" i="3" a="1"/>
  <c r="G81" i="3" a="1"/>
  <c r="M87" i="3" a="1"/>
  <c r="L125" i="3" a="1"/>
  <c r="L85" i="3" a="1"/>
  <c r="D136" i="3" a="1"/>
  <c r="M135" i="3" a="1"/>
  <c r="C129" i="3" a="1"/>
  <c r="K132" i="3" a="1"/>
  <c r="F127" i="3" a="1"/>
  <c r="J79" i="3" a="1"/>
  <c r="H81" i="3" a="1"/>
  <c r="F85" i="3" a="1"/>
  <c r="B128" i="3" a="1"/>
  <c r="C76" i="3" a="1"/>
  <c r="F80" i="3" a="1"/>
  <c r="J128" i="3" a="1"/>
  <c r="F77" i="3" a="1"/>
  <c r="I127" i="3" a="1"/>
  <c r="E133" i="3" a="1"/>
  <c r="E79" i="3" a="1"/>
  <c r="E129" i="3" a="1"/>
  <c r="G77" i="3" a="1"/>
  <c r="M131" i="3" a="1"/>
  <c r="E78" i="3" a="1"/>
  <c r="M84" i="3" a="1"/>
  <c r="E131" i="3" a="1"/>
  <c r="E128" i="3" a="1"/>
  <c r="L129" i="3" a="1"/>
  <c r="N80" i="3" a="1"/>
  <c r="K84" i="3" a="1"/>
  <c r="N78" i="3" a="1"/>
  <c r="M129" i="3" a="1"/>
  <c r="F84" i="3" a="1"/>
  <c r="G79" i="3" a="1"/>
  <c r="L77" i="3" a="1"/>
  <c r="F86" i="3" a="1"/>
  <c r="B135" i="3" a="1"/>
  <c r="B134" i="3" a="1"/>
  <c r="E125" i="3" a="1"/>
  <c r="M80" i="3" a="1"/>
  <c r="K134" i="3" a="1"/>
  <c r="D125" i="3" a="1"/>
  <c r="C87" i="3" a="1"/>
  <c r="F83" i="3" a="1"/>
  <c r="E81" i="3" a="1"/>
  <c r="J82" i="3" a="1"/>
  <c r="K86" i="3" a="1"/>
  <c r="J76" i="3" a="1"/>
  <c r="L134" i="3" a="1"/>
  <c r="M130" i="3" a="1"/>
  <c r="G133" i="3" a="1"/>
  <c r="N127" i="3" a="1"/>
  <c r="K136" i="3" a="1"/>
  <c r="H86" i="3" a="1"/>
  <c r="N85" i="3" a="1"/>
  <c r="M125" i="3" a="1"/>
  <c r="M132" i="3" a="1"/>
  <c r="N82" i="3" a="1"/>
  <c r="F129" i="3" a="1"/>
  <c r="N130" i="3" a="1"/>
  <c r="I76" i="3" a="1"/>
  <c r="M79" i="3" a="1"/>
  <c r="D133" i="3" a="1"/>
  <c r="D127" i="3" a="1"/>
  <c r="J87" i="3" a="1"/>
  <c r="B133" i="3" a="1"/>
  <c r="H130" i="3" a="1"/>
  <c r="I80" i="3" a="1"/>
  <c r="B85" i="3" a="1"/>
  <c r="M78" i="3" a="1"/>
  <c r="L127" i="3" a="1"/>
  <c r="C134" i="3" a="1"/>
  <c r="B87" i="3" a="1"/>
  <c r="E76" i="3" a="1"/>
  <c r="N135" i="3" a="1"/>
  <c r="L87" i="3" a="1"/>
  <c r="L126" i="3" a="1"/>
  <c r="N129" i="3" a="1"/>
  <c r="F76" i="3" a="1"/>
  <c r="H131" i="3" a="1"/>
  <c r="N87" i="3" a="1"/>
  <c r="L128" i="3" a="1"/>
  <c r="L131" i="3" a="1"/>
  <c r="H78" i="3" a="1"/>
  <c r="N84" i="3" a="1"/>
  <c r="J85" i="3" a="1"/>
  <c r="H79" i="3" a="1"/>
  <c r="G127" i="3" a="1"/>
  <c r="C77" i="3" a="1"/>
  <c r="M126" i="3" a="1"/>
  <c r="H128" i="3" a="1"/>
  <c r="H127" i="3" a="1"/>
  <c r="L78" i="3" a="1"/>
  <c r="B76" i="3" a="1"/>
  <c r="J127" i="3" a="1"/>
  <c r="H134" i="3" a="1"/>
  <c r="G76" i="3" a="1"/>
  <c r="K135" i="3" a="1"/>
  <c r="L132" i="3" a="1"/>
  <c r="B82" i="3" a="1"/>
  <c r="B125" i="3" a="1"/>
  <c r="I84" i="3" a="1"/>
  <c r="K87" i="3" a="1"/>
  <c r="F125" i="3" a="1"/>
  <c r="I82" i="3" a="1"/>
  <c r="J81" i="3" a="1"/>
  <c r="D79" i="3" a="1"/>
  <c r="M136" i="3" a="1"/>
  <c r="H80" i="3" a="1"/>
  <c r="K76" i="3" a="1"/>
  <c r="G132" i="3" a="1"/>
  <c r="I135" i="3" a="1"/>
  <c r="J80" i="3" a="1"/>
  <c r="J78" i="3" a="1"/>
  <c r="F134" i="3" a="1"/>
  <c r="E127" i="3" a="1"/>
  <c r="E86" i="3" a="1"/>
  <c r="D131" i="3" a="1"/>
  <c r="M127" i="3" a="1"/>
  <c r="H82" i="3" a="1"/>
  <c r="F79" i="3" a="1"/>
  <c r="G83" i="3" a="1"/>
  <c r="E85" i="3" a="1"/>
  <c r="L135" i="3" a="1"/>
  <c r="E125" i="3" l="1"/>
  <c r="K125" i="3"/>
  <c r="K132" i="3"/>
  <c r="G132" i="3"/>
  <c r="N129" i="3"/>
  <c r="H127" i="3"/>
  <c r="J136" i="3"/>
  <c r="K131" i="3"/>
  <c r="J128" i="3"/>
  <c r="D126" i="3"/>
  <c r="D134" i="3"/>
  <c r="L125" i="3"/>
  <c r="G125" i="3"/>
  <c r="M125" i="3"/>
  <c r="G136" i="3"/>
  <c r="I125" i="3"/>
  <c r="M134" i="3"/>
  <c r="D131" i="3"/>
  <c r="K128" i="3"/>
  <c r="E126" i="3"/>
  <c r="M133" i="3"/>
  <c r="M129" i="3"/>
  <c r="G127" i="3"/>
  <c r="F136" i="3"/>
  <c r="G131" i="3"/>
  <c r="C134" i="3"/>
  <c r="M128" i="3"/>
  <c r="B125" i="3"/>
  <c r="H125" i="3"/>
  <c r="F133" i="3"/>
  <c r="M130" i="3"/>
  <c r="G128" i="3"/>
  <c r="L136" i="3"/>
  <c r="I133" i="3"/>
  <c r="I129" i="3"/>
  <c r="C127" i="3"/>
  <c r="D130" i="3"/>
  <c r="H133" i="3"/>
  <c r="E128" i="3"/>
  <c r="M136" i="3"/>
  <c r="N131" i="3"/>
  <c r="F127" i="3"/>
  <c r="F134" i="3"/>
  <c r="G129" i="3"/>
  <c r="N126" i="3"/>
  <c r="N76" i="3"/>
  <c r="D78" i="3"/>
  <c r="F83" i="3"/>
  <c r="J125" i="3"/>
  <c r="F125" i="3"/>
  <c r="B133" i="3"/>
  <c r="I130" i="3"/>
  <c r="C128" i="3"/>
  <c r="C136" i="3"/>
  <c r="N132" i="3"/>
  <c r="E129" i="3"/>
  <c r="L126" i="3"/>
  <c r="G135" i="3"/>
  <c r="L135" i="3"/>
  <c r="M132" i="3"/>
  <c r="J127" i="3"/>
  <c r="E136" i="3"/>
  <c r="F131" i="3"/>
  <c r="K126" i="3"/>
  <c r="B134" i="3"/>
  <c r="I131" i="3"/>
  <c r="C129" i="3"/>
  <c r="J126" i="3"/>
  <c r="I76" i="3"/>
  <c r="K76" i="3"/>
  <c r="G87" i="3"/>
  <c r="C83" i="3"/>
  <c r="F80" i="3"/>
  <c r="M77" i="3"/>
  <c r="K87" i="3"/>
  <c r="B87" i="3"/>
  <c r="J79" i="3"/>
  <c r="N85" i="3"/>
  <c r="E80" i="3"/>
  <c r="C82" i="3"/>
  <c r="H84" i="3"/>
  <c r="B82" i="3"/>
  <c r="I79" i="3"/>
  <c r="C77" i="3"/>
  <c r="M87" i="3"/>
  <c r="I82" i="3"/>
  <c r="H79" i="3"/>
  <c r="B77" i="3"/>
  <c r="E130" i="3"/>
  <c r="L127" i="3"/>
  <c r="E134" i="3"/>
  <c r="F132" i="3"/>
  <c r="N128" i="3"/>
  <c r="H126" i="3"/>
  <c r="L134" i="3"/>
  <c r="N133" i="3"/>
  <c r="E132" i="3"/>
  <c r="B127" i="3"/>
  <c r="J135" i="3"/>
  <c r="K130" i="3"/>
  <c r="C126" i="3"/>
  <c r="K133" i="3"/>
  <c r="E131" i="3"/>
  <c r="L128" i="3"/>
  <c r="F126" i="3"/>
  <c r="L76" i="3"/>
  <c r="G76" i="3"/>
  <c r="L86" i="3"/>
  <c r="L82" i="3"/>
  <c r="B80" i="3"/>
  <c r="I77" i="3"/>
  <c r="C87" i="3"/>
  <c r="H85" i="3"/>
  <c r="F79" i="3"/>
  <c r="J87" i="3"/>
  <c r="B79" i="3"/>
  <c r="I87" i="3"/>
  <c r="D84" i="3"/>
  <c r="K81" i="3"/>
  <c r="E79" i="3"/>
  <c r="L87" i="3"/>
  <c r="E87" i="3"/>
  <c r="J81" i="3"/>
  <c r="D79" i="3"/>
  <c r="B76" i="3"/>
  <c r="I136" i="3"/>
  <c r="J131" i="3"/>
  <c r="G126" i="3"/>
  <c r="B135" i="3"/>
  <c r="G130" i="3"/>
  <c r="M135" i="3"/>
  <c r="G133" i="3"/>
  <c r="N130" i="3"/>
  <c r="H128" i="3"/>
  <c r="B126" i="3"/>
  <c r="D76" i="3"/>
  <c r="C76" i="3"/>
  <c r="D86" i="3"/>
  <c r="H82" i="3"/>
  <c r="K79" i="3"/>
  <c r="E77" i="3"/>
  <c r="H86" i="3"/>
  <c r="N83" i="3"/>
  <c r="K78" i="3"/>
  <c r="C86" i="3"/>
  <c r="E86" i="3"/>
  <c r="N86" i="3"/>
  <c r="M83" i="3"/>
  <c r="G81" i="3"/>
  <c r="N78" i="3"/>
  <c r="J85" i="3"/>
  <c r="J86" i="3"/>
  <c r="F81" i="3"/>
  <c r="M78" i="3"/>
  <c r="M85" i="3"/>
  <c r="J129" i="3"/>
  <c r="B131" i="3"/>
  <c r="J130" i="3"/>
  <c r="J76" i="3"/>
  <c r="M86" i="3"/>
  <c r="I85" i="3"/>
  <c r="G79" i="3"/>
  <c r="D87" i="3"/>
  <c r="E85" i="3"/>
  <c r="K82" i="3"/>
  <c r="G78" i="3"/>
  <c r="M84" i="3"/>
  <c r="N87" i="3"/>
  <c r="I83" i="3"/>
  <c r="C81" i="3"/>
  <c r="J78" i="3"/>
  <c r="F87" i="3"/>
  <c r="C85" i="3"/>
  <c r="B81" i="3"/>
  <c r="I78" i="3"/>
  <c r="D125" i="3"/>
  <c r="C125" i="3"/>
  <c r="C132" i="3"/>
  <c r="D127" i="3"/>
  <c r="K135" i="3"/>
  <c r="C131" i="3"/>
  <c r="F128" i="3"/>
  <c r="H135" i="3"/>
  <c r="E133" i="3"/>
  <c r="N135" i="3"/>
  <c r="H136" i="3"/>
  <c r="G134" i="3"/>
  <c r="L129" i="3"/>
  <c r="I135" i="3"/>
  <c r="C133" i="3"/>
  <c r="D128" i="3"/>
  <c r="M81" i="3"/>
  <c r="F86" i="3"/>
  <c r="N125" i="3"/>
  <c r="D136" i="3"/>
  <c r="L131" i="3"/>
  <c r="F129" i="3"/>
  <c r="M126" i="3"/>
  <c r="C135" i="3"/>
  <c r="L130" i="3"/>
  <c r="B128" i="3"/>
  <c r="I134" i="3"/>
  <c r="J132" i="3"/>
  <c r="F135" i="3"/>
  <c r="C130" i="3"/>
  <c r="K136" i="3"/>
  <c r="L133" i="3"/>
  <c r="D129" i="3"/>
  <c r="E135" i="3"/>
  <c r="L132" i="3"/>
  <c r="F130" i="3"/>
  <c r="M127" i="3"/>
  <c r="M76" i="3"/>
  <c r="K84" i="3"/>
  <c r="N84" i="3"/>
  <c r="I81" i="3"/>
  <c r="C79" i="3"/>
  <c r="B85" i="3"/>
  <c r="J84" i="3"/>
  <c r="L81" i="3"/>
  <c r="C78" i="3"/>
  <c r="J83" i="3"/>
  <c r="K86" i="3"/>
  <c r="B86" i="3"/>
  <c r="E83" i="3"/>
  <c r="L80" i="3"/>
  <c r="F78" i="3"/>
  <c r="G86" i="3"/>
  <c r="H87" i="3"/>
  <c r="K80" i="3"/>
  <c r="E78" i="3"/>
  <c r="H131" i="3"/>
  <c r="B129" i="3"/>
  <c r="I126" i="3"/>
  <c r="H134" i="3"/>
  <c r="H130" i="3"/>
  <c r="K127" i="3"/>
  <c r="N136" i="3"/>
  <c r="B132" i="3"/>
  <c r="K134" i="3"/>
  <c r="H129" i="3"/>
  <c r="D135" i="3"/>
  <c r="D133" i="3"/>
  <c r="I128" i="3"/>
  <c r="N134" i="3"/>
  <c r="H132" i="3"/>
  <c r="B130" i="3"/>
  <c r="I127" i="3"/>
  <c r="E76" i="3"/>
  <c r="L83" i="3"/>
  <c r="F84" i="3"/>
  <c r="E81" i="3"/>
  <c r="L78" i="3"/>
  <c r="G84" i="3"/>
  <c r="K83" i="3"/>
  <c r="D81" i="3"/>
  <c r="L77" i="3"/>
  <c r="G82" i="3"/>
  <c r="L85" i="3"/>
  <c r="K85" i="3"/>
  <c r="N82" i="3"/>
  <c r="H80" i="3"/>
  <c r="B78" i="3"/>
  <c r="D85" i="3"/>
  <c r="F85" i="3"/>
  <c r="G80" i="3"/>
  <c r="N77" i="3"/>
  <c r="J133" i="3"/>
  <c r="I132" i="3"/>
  <c r="N127" i="3"/>
  <c r="J134" i="3"/>
  <c r="D132" i="3"/>
  <c r="K129" i="3"/>
  <c r="E127" i="3"/>
  <c r="H76" i="3"/>
  <c r="M82" i="3"/>
  <c r="B84" i="3"/>
  <c r="N80" i="3"/>
  <c r="H78" i="3"/>
  <c r="H83" i="3"/>
  <c r="D82" i="3"/>
  <c r="I80" i="3"/>
  <c r="H77" i="3"/>
  <c r="H81" i="3"/>
  <c r="I84" i="3"/>
  <c r="G85" i="3"/>
  <c r="J82" i="3"/>
  <c r="D80" i="3"/>
  <c r="K77" i="3"/>
  <c r="E84" i="3"/>
  <c r="C84" i="3"/>
  <c r="C80" i="3"/>
  <c r="J77" i="3"/>
  <c r="B136" i="3"/>
  <c r="M131" i="3"/>
  <c r="F76" i="3"/>
  <c r="N81" i="3"/>
  <c r="G83" i="3"/>
  <c r="J80" i="3"/>
  <c r="E82" i="3"/>
  <c r="I86" i="3"/>
  <c r="N79" i="3"/>
  <c r="D77" i="3"/>
  <c r="M80" i="3"/>
  <c r="L84" i="3"/>
  <c r="F82" i="3"/>
  <c r="M79" i="3"/>
  <c r="G77" i="3"/>
  <c r="B83" i="3"/>
  <c r="D83" i="3"/>
  <c r="L79" i="3"/>
  <c r="F77" i="3"/>
  <c r="C21" i="3"/>
  <c r="B21" i="3"/>
  <c r="B14" i="3"/>
  <c r="B19" i="3" s="1"/>
  <c r="B1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<sst xmlns="http://schemas.openxmlformats.org/spreadsheetml/2006/main" count="172" uniqueCount="96">
  <si>
    <t>LiFeS2</t>
  </si>
  <si>
    <t>Alkaline</t>
  </si>
  <si>
    <t>NiMH</t>
  </si>
  <si>
    <t>battery lifetime</t>
  </si>
  <si>
    <t>video_per_month</t>
  </si>
  <si>
    <t>fraction_of_night</t>
  </si>
  <si>
    <t>years</t>
  </si>
  <si>
    <t>service threshold</t>
  </si>
  <si>
    <t>Li-Ion AA</t>
  </si>
  <si>
    <t>Replacement Overhead</t>
  </si>
  <si>
    <t>Cost per Lifetime</t>
  </si>
  <si>
    <t>Batteries per Camera Lifetime</t>
  </si>
  <si>
    <t>hours</t>
  </si>
  <si>
    <t>battery capacity</t>
  </si>
  <si>
    <t>W-h</t>
  </si>
  <si>
    <t>energy_per_hour_daylight</t>
  </si>
  <si>
    <t>Mean Energy per Hour</t>
  </si>
  <si>
    <t>Number of batteries per camera</t>
  </si>
  <si>
    <t>Adjusted Battery Pack Capacity</t>
  </si>
  <si>
    <t>Lifetime Energy Required</t>
  </si>
  <si>
    <t>Lifetime Charges</t>
  </si>
  <si>
    <t>service_interval</t>
  </si>
  <si>
    <t>months</t>
  </si>
  <si>
    <t>Service Energy</t>
  </si>
  <si>
    <t>Battery Pack Capacity</t>
  </si>
  <si>
    <t>Charge Cycles</t>
  </si>
  <si>
    <t>Lifetime Batteries</t>
  </si>
  <si>
    <t>Service Interval (months)</t>
  </si>
  <si>
    <t>camera lifetime</t>
  </si>
  <si>
    <t>Activity Intensity (Monthly Video in Hours)</t>
  </si>
  <si>
    <t>Voltage</t>
  </si>
  <si>
    <t>Load</t>
  </si>
  <si>
    <t>mA</t>
  </si>
  <si>
    <t>Num Batteries</t>
  </si>
  <si>
    <t>Watts</t>
  </si>
  <si>
    <t>Night</t>
  </si>
  <si>
    <t>Video Capacity (in hours)</t>
  </si>
  <si>
    <t>NIMH</t>
  </si>
  <si>
    <t>Video Capacity (1 minute clips)</t>
  </si>
  <si>
    <t>Video Capacity (30 Second clips)</t>
  </si>
  <si>
    <t>Video Capacity (20 Second clips)</t>
  </si>
  <si>
    <t>SD Card Consumed</t>
  </si>
  <si>
    <t>GB/hour</t>
  </si>
  <si>
    <t>SD Card Consumed (GB)</t>
  </si>
  <si>
    <t>LiFe2S2</t>
  </si>
  <si>
    <t>Li-ion</t>
  </si>
  <si>
    <t>-</t>
  </si>
  <si>
    <t>Current</t>
  </si>
  <si>
    <t>Volts</t>
  </si>
  <si>
    <t>Day/Night Fraction</t>
  </si>
  <si>
    <t>Day</t>
  </si>
  <si>
    <t>www.winterberrywildife.ouroneacrefarm.com</t>
  </si>
  <si>
    <t xml:space="preserve">Battery Capacity </t>
  </si>
  <si>
    <t>A configurable model for estimating the video capacity and SD card usage of trail cameras based battery capacity and trail camera measurements</t>
  </si>
  <si>
    <t xml:space="preserve">This spreadsheet contains models described in Blog Post at </t>
  </si>
  <si>
    <t>Lifetime Cost Model</t>
  </si>
  <si>
    <t>A model for comparing lifetime costs of primary and rechargeable battery options for trail camera usage scenarios</t>
  </si>
  <si>
    <t>Items marked in YELLOW background are user changeable.  Put your favorite values in here, and model will update the rest</t>
  </si>
  <si>
    <t>Camera Parameters</t>
  </si>
  <si>
    <t>Battery Parameters (as measured by the author)</t>
  </si>
  <si>
    <t>Temperature (F)</t>
  </si>
  <si>
    <t xml:space="preserve">Daylight </t>
  </si>
  <si>
    <t>Video File Size</t>
  </si>
  <si>
    <t>Video Length</t>
  </si>
  <si>
    <t>Seconds</t>
  </si>
  <si>
    <t>Mbytes</t>
  </si>
  <si>
    <t>Mean Day/Night Power</t>
  </si>
  <si>
    <t>Mean Day/Night SD Card Consumption</t>
  </si>
  <si>
    <t>MBytes</t>
  </si>
  <si>
    <t>Single Cell Capacity in Watt-hours</t>
  </si>
  <si>
    <t>Video Capacity</t>
  </si>
  <si>
    <t>Mixed Day/Night Mean Cell Capacity (W-h)</t>
  </si>
  <si>
    <t>Temperature(F)</t>
  </si>
  <si>
    <t>Robert Zak</t>
  </si>
  <si>
    <t>energy_per_hour_night</t>
  </si>
  <si>
    <t>battery cost per cell</t>
  </si>
  <si>
    <t>From "Battery Capacity" Tab</t>
  </si>
  <si>
    <t>Adjust up for batteries required to replace those in the field in one trip (could be has high as 2 for rechargeable)</t>
  </si>
  <si>
    <t>Lifetime Cost vs. Service Interval and Activity Intensity</t>
  </si>
  <si>
    <t>Lifetime Model</t>
  </si>
  <si>
    <t>Monthly Video (hours)</t>
  </si>
  <si>
    <t>Alkaline vs. NiMH (ratio of lifetime costs)</t>
  </si>
  <si>
    <t>LiFeS2 vs. Li-Ion (ratio of lifetime costs)</t>
  </si>
  <si>
    <t>ratios &lt; 1 favor LiFeS2</t>
  </si>
  <si>
    <t>red/dark orange  favors Li-ion</t>
  </si>
  <si>
    <t>yellow/light orange favors LiFeS2</t>
  </si>
  <si>
    <t>0/pure yellow only met by LiFS2</t>
  </si>
  <si>
    <t>Key</t>
  </si>
  <si>
    <t>ratios &lt; 1 favor Alkaline</t>
  </si>
  <si>
    <t>yellow/light orange favors Alkaline</t>
  </si>
  <si>
    <t>red/dark orange  favors NiMH</t>
  </si>
  <si>
    <t>0/pure yellow only met by Alkaline</t>
  </si>
  <si>
    <t>Parameters</t>
  </si>
  <si>
    <t>Daylight Video Power</t>
  </si>
  <si>
    <t>Night Video Power</t>
  </si>
  <si>
    <t>G5S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</si>
</sst>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44" fontId="0" fillId="0" borderId="0" xfId="0" applyNumberFormat="1"/>
    <xf numFmtId="0" fontId="2" fillId="0" borderId="0" xfId="0" applyFont="1"/>
    <xf numFmtId="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9" fontId="0" fillId="0" borderId="0" xfId="0" applyNumberFormat="1"/>
    <xf numFmtId="0" fontId="0" fillId="2" borderId="0" xfId="0" applyFill="1"/>
    <xf numFmtId="9" fontId="0" fillId="2" borderId="0" xfId="0" applyNumberFormat="1" applyFill="1"/>
    <xf numFmtId="14" fontId="0" fillId="0" borderId="0" xfId="0" applyNumberFormat="1"/>
    <xf numFmtId="0" fontId="3" fillId="0" borderId="0" xfId="3"/>
    <xf numFmtId="0" fontId="4" fillId="0" borderId="0" xfId="0" applyFont="1"/>
    <xf numFmtId="0" fontId="2" fillId="0" borderId="0" xfId="0" applyFont="1" applyAlignment="1">
      <alignment horizontal="left"/>
    </xf>
    <xf numFmtId="2" fontId="0" fillId="0" borderId="0" xfId="2" applyNumberFormat="1" applyFont="1"/>
    <xf numFmtId="0" fontId="5" fillId="0" borderId="0" xfId="0" applyFont="1"/>
    <xf numFmtId="165" fontId="5" fillId="0" borderId="0" xfId="0" applyNumberFormat="1" applyFont="1"/>
    <xf numFmtId="2" fontId="5" fillId="0" borderId="0" xfId="0" applyNumberFormat="1" applyFont="1"/>
    <xf numFmtId="44" fontId="0" fillId="2" borderId="0" xfId="1" applyFont="1" applyFill="1"/>
    <xf numFmtId="0" fontId="0" fillId="0" borderId="0" xfId="0" applyFont="1"/>
    <xf numFmtId="0" fontId="0" fillId="0" borderId="0" xfId="0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AA</a:t>
            </a:r>
            <a:r>
              <a:rPr lang="en-US" sz="1100" baseline="0"/>
              <a:t> Battery Capacity by Temperature and Chemistry at 100 mA Discharge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Capacity'!$B$28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Capacity'!$A$29:$A$31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Capacity'!$B$29:$B$31</c:f>
              <c:numCache>
                <c:formatCode>0.00</c:formatCode>
                <c:ptCount val="3"/>
                <c:pt idx="0">
                  <c:v>5.0208567415730334</c:v>
                </c:pt>
                <c:pt idx="1">
                  <c:v>5.2292837078651679</c:v>
                </c:pt>
                <c:pt idx="2">
                  <c:v>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2B-47E8-9DA2-F52645FAEB33}"/>
            </c:ext>
          </c:extLst>
        </c:ser>
        <c:ser>
          <c:idx val="2"/>
          <c:order val="1"/>
          <c:tx>
            <c:strRef>
              <c:f>'Battery Capacity'!$D$28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Capacity'!$A$29:$A$31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Capacity'!$D$29:$D$31</c:f>
              <c:numCache>
                <c:formatCode>0.00</c:formatCode>
                <c:ptCount val="3"/>
                <c:pt idx="0">
                  <c:v>2.2998324999999999</c:v>
                </c:pt>
                <c:pt idx="1">
                  <c:v>2.5547424999999997</c:v>
                </c:pt>
                <c:pt idx="2">
                  <c:v>2.7094825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2B-47E8-9DA2-F52645FAEB33}"/>
            </c:ext>
          </c:extLst>
        </c:ser>
        <c:ser>
          <c:idx val="1"/>
          <c:order val="2"/>
          <c:tx>
            <c:strRef>
              <c:f>'Battery Capacity'!$C$28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Capacity'!$A$29:$A$31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Capacity'!$C$29:$C$31</c:f>
              <c:numCache>
                <c:formatCode>General</c:formatCode>
                <c:ptCount val="3"/>
                <c:pt idx="0">
                  <c:v>0.48749999999999999</c:v>
                </c:pt>
                <c:pt idx="1">
                  <c:v>2.3624999999999998</c:v>
                </c:pt>
                <c:pt idx="2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2B-47E8-9DA2-F52645FAEB33}"/>
            </c:ext>
          </c:extLst>
        </c:ser>
        <c:ser>
          <c:idx val="3"/>
          <c:order val="3"/>
          <c:tx>
            <c:strRef>
              <c:f>'Battery Capacity'!$E$28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Capacity'!$A$29:$A$31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Capacity'!$E$29:$E$31</c:f>
              <c:numCache>
                <c:formatCode>0.00</c:formatCode>
                <c:ptCount val="3"/>
                <c:pt idx="0">
                  <c:v>2.0644899999999997</c:v>
                </c:pt>
                <c:pt idx="1">
                  <c:v>2.2054499999999999</c:v>
                </c:pt>
                <c:pt idx="2">
                  <c:v>2.2329824999999999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2B-47E8-9DA2-F52645FAE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9576"/>
        <c:axId val="722699248"/>
      </c:scatterChart>
      <c:valAx>
        <c:axId val="72269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(F)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248"/>
        <c:crosses val="autoZero"/>
        <c:crossBetween val="midCat"/>
      </c:valAx>
      <c:valAx>
        <c:axId val="722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</a:t>
                </a:r>
                <a:r>
                  <a:rPr lang="en-US" baseline="0"/>
                  <a:t> Capacity (Wh)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AA</a:t>
            </a:r>
            <a:r>
              <a:rPr lang="en-US" sz="1100" baseline="0"/>
              <a:t> Battery Capacity by Temperature and Chemistry at 300 mA Discharge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Capacity'!$B$28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Capacity'!$A$35:$A$37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Capacity'!$B$35:$B$37</c:f>
              <c:numCache>
                <c:formatCode>0.00</c:formatCode>
                <c:ptCount val="3"/>
                <c:pt idx="0">
                  <c:v>4.8384831460674151</c:v>
                </c:pt>
                <c:pt idx="1">
                  <c:v>5.1734550561797752</c:v>
                </c:pt>
                <c:pt idx="2">
                  <c:v>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BB-404D-96CA-5B47555B09C5}"/>
            </c:ext>
          </c:extLst>
        </c:ser>
        <c:ser>
          <c:idx val="2"/>
          <c:order val="1"/>
          <c:tx>
            <c:strRef>
              <c:f>'Battery Capacity'!$D$28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Capacity'!$A$35:$A$37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Capacity'!$D$35:$D$37</c:f>
              <c:numCache>
                <c:formatCode>0.00</c:formatCode>
                <c:ptCount val="3"/>
                <c:pt idx="0">
                  <c:v>2.3351899999999999</c:v>
                </c:pt>
                <c:pt idx="1">
                  <c:v>2.5981775000000003</c:v>
                </c:pt>
                <c:pt idx="2">
                  <c:v>2.6548975000000001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BB-404D-96CA-5B47555B09C5}"/>
            </c:ext>
          </c:extLst>
        </c:ser>
        <c:ser>
          <c:idx val="1"/>
          <c:order val="2"/>
          <c:tx>
            <c:strRef>
              <c:f>'Battery Capacity'!$C$28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Capacity'!$A$35:$A$37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Capacity'!$C$35:$C$37</c:f>
              <c:numCache>
                <c:formatCode>General</c:formatCode>
                <c:ptCount val="3"/>
                <c:pt idx="0">
                  <c:v>0.22500000000000001</c:v>
                </c:pt>
                <c:pt idx="1">
                  <c:v>1.05</c:v>
                </c:pt>
                <c:pt idx="2">
                  <c:v>2.85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BB-404D-96CA-5B47555B09C5}"/>
            </c:ext>
          </c:extLst>
        </c:ser>
        <c:ser>
          <c:idx val="3"/>
          <c:order val="3"/>
          <c:tx>
            <c:strRef>
              <c:f>'Battery Capacity'!$E$28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Capacity'!$A$35:$A$37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Capacity'!$E$35:$E$37</c:f>
              <c:numCache>
                <c:formatCode>0.00</c:formatCode>
                <c:ptCount val="3"/>
                <c:pt idx="0">
                  <c:v>1.55328</c:v>
                </c:pt>
                <c:pt idx="1">
                  <c:v>2.1846424999999998</c:v>
                </c:pt>
                <c:pt idx="2">
                  <c:v>2.3325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BB-404D-96CA-5B47555B0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9576"/>
        <c:axId val="722699248"/>
      </c:scatterChart>
      <c:valAx>
        <c:axId val="72269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(F)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248"/>
        <c:crosses val="autoZero"/>
        <c:crossBetween val="midCat"/>
      </c:valAx>
      <c:valAx>
        <c:axId val="722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</a:t>
                </a:r>
                <a:r>
                  <a:rPr lang="en-US" baseline="0"/>
                  <a:t> Capacity (Wh)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Video Capacity, SD Card Usage vs. Temperature</a:t>
            </a:r>
          </a:p>
        </c:rich>
      </c:tx>
      <c:layout>
        <c:manualLayout>
          <c:xMode val="edge"/>
          <c:yMode val="edge"/>
          <c:x val="0.12871608457117847"/>
          <c:y val="2.4727140321332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Capacity'!$B$48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Capacity'!$B$49:$B$51</c:f>
              <c:numCache>
                <c:formatCode>0.0</c:formatCode>
                <c:ptCount val="3"/>
                <c:pt idx="0">
                  <c:v>16.372673329231102</c:v>
                </c:pt>
                <c:pt idx="1">
                  <c:v>17.061092732727207</c:v>
                </c:pt>
                <c:pt idx="2">
                  <c:v>17.295505126648784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B0-4605-9F9F-4A062964EFB6}"/>
            </c:ext>
          </c:extLst>
        </c:ser>
        <c:ser>
          <c:idx val="1"/>
          <c:order val="1"/>
          <c:tx>
            <c:strRef>
              <c:f>'Battery Capacity'!$C$48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Capacity'!$C$49:$C$51</c:f>
              <c:numCache>
                <c:formatCode>0.0</c:formatCode>
                <c:ptCount val="3"/>
                <c:pt idx="0">
                  <c:v>1.5737278013823353</c:v>
                </c:pt>
                <c:pt idx="1">
                  <c:v>7.6238912928553244</c:v>
                </c:pt>
                <c:pt idx="2">
                  <c:v>10.979382452567894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B0-4605-9F9F-4A062964EFB6}"/>
            </c:ext>
          </c:extLst>
        </c:ser>
        <c:ser>
          <c:idx val="2"/>
          <c:order val="2"/>
          <c:tx>
            <c:strRef>
              <c:f>'Battery Capacity'!$D$48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Capacity'!$D$49:$D$51</c:f>
              <c:numCache>
                <c:formatCode>0.0</c:formatCode>
                <c:ptCount val="3"/>
                <c:pt idx="0">
                  <c:v>7.5073576057799611</c:v>
                </c:pt>
                <c:pt idx="1">
                  <c:v>8.3397333228907637</c:v>
                </c:pt>
                <c:pt idx="2">
                  <c:v>8.8382994276166809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B0-4605-9F9F-4A062964EFB6}"/>
            </c:ext>
          </c:extLst>
        </c:ser>
        <c:ser>
          <c:idx val="3"/>
          <c:order val="3"/>
          <c:tx>
            <c:strRef>
              <c:f>'Battery Capacity'!$E$48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Capacity'!$E$49:$E$51</c:f>
              <c:numCache>
                <c:formatCode>0.0</c:formatCode>
                <c:ptCount val="3"/>
                <c:pt idx="0">
                  <c:v>6.7036914481885397</c:v>
                </c:pt>
                <c:pt idx="1">
                  <c:v>7.1956932560583216</c:v>
                </c:pt>
                <c:pt idx="2">
                  <c:v>7.2933932802067636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B0-4605-9F9F-4A062964E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8488"/>
        <c:axId val="866888816"/>
      </c:scatterChart>
      <c:valAx>
        <c:axId val="8668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816"/>
        <c:crosses val="autoZero"/>
        <c:crossBetween val="midCat"/>
      </c:valAx>
      <c:valAx>
        <c:axId val="8668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Video</a:t>
                </a:r>
                <a:r>
                  <a:rPr lang="en-US" baseline="0"/>
                  <a:t> Capacity (hours)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3333333333333332E-3"/>
              <c:y val="0.25339401938919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Video Capacity vs. Temperature</a:t>
            </a:r>
          </a:p>
        </c:rich>
      </c:tx>
      <c:layout>
        <c:manualLayout>
          <c:xMode val="edge"/>
          <c:yMode val="edge"/>
          <c:x val="0.28171522309711289"/>
          <c:y val="5.1702092151775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Capacity'!$B$48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Capacity'!$B$55:$B$57</c:f>
              <c:numCache>
                <c:formatCode>0</c:formatCode>
                <c:ptCount val="3"/>
                <c:pt idx="0">
                  <c:v>982.36039975386609</c:v>
                </c:pt>
                <c:pt idx="1">
                  <c:v>1023.6655639636324</c:v>
                </c:pt>
                <c:pt idx="2">
                  <c:v>1037.7303075989271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A-457D-BA63-FA8D717A0949}"/>
            </c:ext>
          </c:extLst>
        </c:ser>
        <c:ser>
          <c:idx val="1"/>
          <c:order val="1"/>
          <c:tx>
            <c:strRef>
              <c:f>'Battery Capacity'!$C$48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Capacity'!$C$55:$C$57</c:f>
              <c:numCache>
                <c:formatCode>0</c:formatCode>
                <c:ptCount val="3"/>
                <c:pt idx="0">
                  <c:v>94.423668082940111</c:v>
                </c:pt>
                <c:pt idx="1">
                  <c:v>457.43347757131949</c:v>
                </c:pt>
                <c:pt idx="2">
                  <c:v>658.76294715407357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1A-457D-BA63-FA8D717A0949}"/>
            </c:ext>
          </c:extLst>
        </c:ser>
        <c:ser>
          <c:idx val="2"/>
          <c:order val="2"/>
          <c:tx>
            <c:strRef>
              <c:f>'Battery Capacity'!$D$48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Capacity'!$D$55:$D$57</c:f>
              <c:numCache>
                <c:formatCode>0</c:formatCode>
                <c:ptCount val="3"/>
                <c:pt idx="0">
                  <c:v>450.44145634679768</c:v>
                </c:pt>
                <c:pt idx="1">
                  <c:v>500.38399937344582</c:v>
                </c:pt>
                <c:pt idx="2">
                  <c:v>530.29796565700087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1A-457D-BA63-FA8D717A0949}"/>
            </c:ext>
          </c:extLst>
        </c:ser>
        <c:ser>
          <c:idx val="3"/>
          <c:order val="3"/>
          <c:tx>
            <c:strRef>
              <c:f>'Battery Capacity'!$E$48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Capacity'!$E$55:$E$57</c:f>
              <c:numCache>
                <c:formatCode>0</c:formatCode>
                <c:ptCount val="3"/>
                <c:pt idx="0">
                  <c:v>402.2214868913124</c:v>
                </c:pt>
                <c:pt idx="1">
                  <c:v>431.7415953634993</c:v>
                </c:pt>
                <c:pt idx="2">
                  <c:v>437.60359681240584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1A-457D-BA63-FA8D717A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8488"/>
        <c:axId val="866888816"/>
      </c:scatterChart>
      <c:valAx>
        <c:axId val="8668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816"/>
        <c:crosses val="autoZero"/>
        <c:crossBetween val="midCat"/>
      </c:valAx>
      <c:valAx>
        <c:axId val="8668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Video</a:t>
                </a:r>
                <a:r>
                  <a:rPr lang="en-US" baseline="0"/>
                  <a:t> Capacity (1-minute Videos)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111111111111112E-2"/>
              <c:y val="0.169164808156205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Video Capacity vs. Temperature</a:t>
            </a:r>
          </a:p>
        </c:rich>
      </c:tx>
      <c:layout>
        <c:manualLayout>
          <c:xMode val="edge"/>
          <c:yMode val="edge"/>
          <c:x val="0.28171522309711289"/>
          <c:y val="5.1702092151775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Capacity'!$B$48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Capacity'!$B$61:$B$63</c:f>
              <c:numCache>
                <c:formatCode>0</c:formatCode>
                <c:ptCount val="3"/>
                <c:pt idx="0">
                  <c:v>1964.7207995077322</c:v>
                </c:pt>
                <c:pt idx="1">
                  <c:v>2047.3311279272648</c:v>
                </c:pt>
                <c:pt idx="2">
                  <c:v>2075.4606151978542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05-42C8-B3F1-491F90081A43}"/>
            </c:ext>
          </c:extLst>
        </c:ser>
        <c:ser>
          <c:idx val="1"/>
          <c:order val="1"/>
          <c:tx>
            <c:strRef>
              <c:f>'Battery Capacity'!$C$48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Capacity'!$C$61:$C$63</c:f>
              <c:numCache>
                <c:formatCode>0</c:formatCode>
                <c:ptCount val="3"/>
                <c:pt idx="0">
                  <c:v>188.84733616588022</c:v>
                </c:pt>
                <c:pt idx="1">
                  <c:v>914.86695514263897</c:v>
                </c:pt>
                <c:pt idx="2">
                  <c:v>1317.5258943081471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05-42C8-B3F1-491F90081A43}"/>
            </c:ext>
          </c:extLst>
        </c:ser>
        <c:ser>
          <c:idx val="2"/>
          <c:order val="2"/>
          <c:tx>
            <c:strRef>
              <c:f>'Battery Capacity'!$D$48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Capacity'!$D$61:$D$63</c:f>
              <c:numCache>
                <c:formatCode>0</c:formatCode>
                <c:ptCount val="3"/>
                <c:pt idx="0">
                  <c:v>900.88291269359536</c:v>
                </c:pt>
                <c:pt idx="1">
                  <c:v>1000.7679987468916</c:v>
                </c:pt>
                <c:pt idx="2">
                  <c:v>1060.5959313140017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05-42C8-B3F1-491F90081A43}"/>
            </c:ext>
          </c:extLst>
        </c:ser>
        <c:ser>
          <c:idx val="3"/>
          <c:order val="3"/>
          <c:tx>
            <c:strRef>
              <c:f>'Battery Capacity'!$E$48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Capacity'!$E$61:$E$63</c:f>
              <c:numCache>
                <c:formatCode>0</c:formatCode>
                <c:ptCount val="3"/>
                <c:pt idx="0">
                  <c:v>804.44297378262479</c:v>
                </c:pt>
                <c:pt idx="1">
                  <c:v>863.4831907269986</c:v>
                </c:pt>
                <c:pt idx="2">
                  <c:v>875.20719362481168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05-42C8-B3F1-491F90081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8488"/>
        <c:axId val="866888816"/>
      </c:scatterChart>
      <c:valAx>
        <c:axId val="8668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816"/>
        <c:crosses val="autoZero"/>
        <c:crossBetween val="midCat"/>
      </c:valAx>
      <c:valAx>
        <c:axId val="8668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Video</a:t>
                </a:r>
                <a:r>
                  <a:rPr lang="en-US" baseline="0"/>
                  <a:t> Capacity (30-second videos)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3333333333333332E-3"/>
              <c:y val="0.16976226237616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Video Capacity vs. Temperature</a:t>
            </a:r>
          </a:p>
        </c:rich>
      </c:tx>
      <c:layout>
        <c:manualLayout>
          <c:xMode val="edge"/>
          <c:yMode val="edge"/>
          <c:x val="0.28171522309711289"/>
          <c:y val="5.1702092151775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Capacity'!$B$48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Capacity'!$B$67:$B$69</c:f>
              <c:numCache>
                <c:formatCode>0</c:formatCode>
                <c:ptCount val="3"/>
                <c:pt idx="0">
                  <c:v>2947.0811992615982</c:v>
                </c:pt>
                <c:pt idx="1">
                  <c:v>3070.9966918908972</c:v>
                </c:pt>
                <c:pt idx="2">
                  <c:v>3113.1909227967813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3A-474F-A5AA-19DF60611F35}"/>
            </c:ext>
          </c:extLst>
        </c:ser>
        <c:ser>
          <c:idx val="1"/>
          <c:order val="1"/>
          <c:tx>
            <c:strRef>
              <c:f>'Battery Capacity'!$C$48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Capacity'!$C$67:$C$69</c:f>
              <c:numCache>
                <c:formatCode>0</c:formatCode>
                <c:ptCount val="3"/>
                <c:pt idx="0">
                  <c:v>283.27100424882036</c:v>
                </c:pt>
                <c:pt idx="1">
                  <c:v>1372.3004327139583</c:v>
                </c:pt>
                <c:pt idx="2">
                  <c:v>1976.2888414622209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3A-474F-A5AA-19DF60611F35}"/>
            </c:ext>
          </c:extLst>
        </c:ser>
        <c:ser>
          <c:idx val="2"/>
          <c:order val="2"/>
          <c:tx>
            <c:strRef>
              <c:f>'Battery Capacity'!$D$48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Capacity'!$D$67:$D$69</c:f>
              <c:numCache>
                <c:formatCode>0</c:formatCode>
                <c:ptCount val="3"/>
                <c:pt idx="0">
                  <c:v>1351.3243690403931</c:v>
                </c:pt>
                <c:pt idx="1">
                  <c:v>1501.1519981203376</c:v>
                </c:pt>
                <c:pt idx="2">
                  <c:v>1590.8938969710025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3A-474F-A5AA-19DF60611F35}"/>
            </c:ext>
          </c:extLst>
        </c:ser>
        <c:ser>
          <c:idx val="3"/>
          <c:order val="3"/>
          <c:tx>
            <c:strRef>
              <c:f>'Battery Capacity'!$E$48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Capacity'!$E$67:$E$69</c:f>
              <c:numCache>
                <c:formatCode>0</c:formatCode>
                <c:ptCount val="3"/>
                <c:pt idx="0">
                  <c:v>1206.6644606739371</c:v>
                </c:pt>
                <c:pt idx="1">
                  <c:v>1295.2247860904979</c:v>
                </c:pt>
                <c:pt idx="2">
                  <c:v>1312.8107904372175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3A-474F-A5AA-19DF60611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8488"/>
        <c:axId val="866888816"/>
      </c:scatterChart>
      <c:valAx>
        <c:axId val="8668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816"/>
        <c:crosses val="autoZero"/>
        <c:crossBetween val="midCat"/>
      </c:valAx>
      <c:valAx>
        <c:axId val="8668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Video</a:t>
                </a:r>
                <a:r>
                  <a:rPr lang="en-US" baseline="0"/>
                  <a:t> Capacity (20-second videos)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888888888888888E-2"/>
              <c:y val="0.16205513328175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SD Card Consumed</a:t>
            </a:r>
            <a:r>
              <a:rPr lang="en-US" baseline="0"/>
              <a:t> Per Charge </a:t>
            </a:r>
            <a:r>
              <a:rPr lang="en-US"/>
              <a:t>vs. Temperature</a:t>
            </a:r>
          </a:p>
        </c:rich>
      </c:tx>
      <c:layout>
        <c:manualLayout>
          <c:xMode val="edge"/>
          <c:yMode val="edge"/>
          <c:x val="0.12559944559944561"/>
          <c:y val="3.44976716620099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Capacity'!$B$48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Capacity'!$B$73:$B$75</c:f>
              <c:numCache>
                <c:formatCode>0</c:formatCode>
                <c:ptCount val="3"/>
                <c:pt idx="0">
                  <c:v>186.42056834049163</c:v>
                </c:pt>
                <c:pt idx="1">
                  <c:v>194.25896674225058</c:v>
                </c:pt>
                <c:pt idx="2">
                  <c:v>196.92800501243315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4E-4EBF-8482-730E58862201}"/>
            </c:ext>
          </c:extLst>
        </c:ser>
        <c:ser>
          <c:idx val="1"/>
          <c:order val="1"/>
          <c:tx>
            <c:strRef>
              <c:f>'Battery Capacity'!$C$48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Capacity'!$C$73:$C$75</c:f>
              <c:numCache>
                <c:formatCode>0</c:formatCode>
                <c:ptCount val="3"/>
                <c:pt idx="0">
                  <c:v>17.918590644763377</c:v>
                </c:pt>
                <c:pt idx="1">
                  <c:v>86.806236171754136</c:v>
                </c:pt>
                <c:pt idx="2">
                  <c:v>125.01212695553421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E-4EBF-8482-730E58862201}"/>
            </c:ext>
          </c:extLst>
        </c:ser>
        <c:ser>
          <c:idx val="2"/>
          <c:order val="2"/>
          <c:tx>
            <c:strRef>
              <c:f>'Battery Capacity'!$D$48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Capacity'!$D$73:$D$75</c:f>
              <c:numCache>
                <c:formatCode>0</c:formatCode>
                <c:ptCount val="3"/>
                <c:pt idx="0">
                  <c:v>85.479374288019088</c:v>
                </c:pt>
                <c:pt idx="1">
                  <c:v>94.956870793100052</c:v>
                </c:pt>
                <c:pt idx="2">
                  <c:v>100.63358434679772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4E-4EBF-8482-730E58862201}"/>
            </c:ext>
          </c:extLst>
        </c:ser>
        <c:ser>
          <c:idx val="3"/>
          <c:order val="3"/>
          <c:tx>
            <c:strRef>
              <c:f>'Battery Capacity'!$E$48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Capacity'!$E$73:$E$75</c:f>
              <c:numCache>
                <c:formatCode>0</c:formatCode>
                <c:ptCount val="3"/>
                <c:pt idx="0">
                  <c:v>76.328767124390552</c:v>
                </c:pt>
                <c:pt idx="1">
                  <c:v>81.930739068940525</c:v>
                </c:pt>
                <c:pt idx="2">
                  <c:v>83.043159359896606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E-4EBF-8482-730E58862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8488"/>
        <c:axId val="866888816"/>
      </c:scatterChart>
      <c:valAx>
        <c:axId val="8668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Temperaature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816"/>
        <c:crosses val="autoZero"/>
        <c:crossBetween val="midCat"/>
      </c:valAx>
      <c:valAx>
        <c:axId val="8668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SD Card</a:t>
                </a:r>
                <a:r>
                  <a:rPr lang="en-US" baseline="0"/>
                  <a:t> Consumed (GB)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5000000000000001E-2"/>
              <c:y val="0.268808277578019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 Battery Energy Capacity vs. Temperature</a:t>
            </a:r>
          </a:p>
        </c:rich>
      </c:tx>
      <c:layout>
        <c:manualLayout>
          <c:xMode val="edge"/>
          <c:yMode val="edge"/>
          <c:x val="0.18171522309711285"/>
          <c:y val="2.85807048685388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'Battery Capacity'!$B$48</c:f>
              <c:strCache>
                <c:ptCount val="1"/>
                <c:pt idx="0">
                  <c:v>LiFeS2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Capacity'!$B$41:$B$43</c:f>
              <c:numCache>
                <c:formatCode>0.00</c:formatCode>
                <c:ptCount val="3"/>
                <c:pt idx="0">
                  <c:v>5.0172092696629207</c:v>
                </c:pt>
                <c:pt idx="1">
                  <c:v>5.2281671348314598</c:v>
                </c:pt>
                <c:pt idx="2">
                  <c:v>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8E-4A6C-8004-1A6195875265}"/>
            </c:ext>
          </c:extLst>
        </c:ser>
        <c:ser>
          <c:idx val="1"/>
          <c:order val="1"/>
          <c:tx>
            <c:strRef>
              <c:f>'Battery Capacity'!$C$48</c:f>
              <c:strCache>
                <c:ptCount val="1"/>
                <c:pt idx="0">
                  <c:v>Alkaline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Capacity'!$C$41:$C$43</c:f>
              <c:numCache>
                <c:formatCode>0.00</c:formatCode>
                <c:ptCount val="3"/>
                <c:pt idx="0">
                  <c:v>0.48225000000000001</c:v>
                </c:pt>
                <c:pt idx="1">
                  <c:v>2.3362499999999997</c:v>
                </c:pt>
                <c:pt idx="2">
                  <c:v>3.3645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8E-4A6C-8004-1A6195875265}"/>
            </c:ext>
          </c:extLst>
        </c:ser>
        <c:ser>
          <c:idx val="2"/>
          <c:order val="2"/>
          <c:tx>
            <c:strRef>
              <c:f>'Battery Capacity'!$D$48</c:f>
              <c:strCache>
                <c:ptCount val="1"/>
                <c:pt idx="0">
                  <c:v>Li-ion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Capacity'!$D$41:$D$43</c:f>
              <c:numCache>
                <c:formatCode>0.00</c:formatCode>
                <c:ptCount val="3"/>
                <c:pt idx="0">
                  <c:v>2.3005396499999997</c:v>
                </c:pt>
                <c:pt idx="1">
                  <c:v>2.5556111999999995</c:v>
                </c:pt>
                <c:pt idx="2">
                  <c:v>2.7083908000000001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8E-4A6C-8004-1A6195875265}"/>
            </c:ext>
          </c:extLst>
        </c:ser>
        <c:ser>
          <c:idx val="3"/>
          <c:order val="3"/>
          <c:tx>
            <c:strRef>
              <c:f>'Battery Capacity'!$E$48</c:f>
              <c:strCache>
                <c:ptCount val="1"/>
                <c:pt idx="0">
                  <c:v>NIMH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'Battery Capacity'!$A$49:$A$51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72</c:v>
                </c:pt>
              </c:numCache>
            </c:numRef>
          </c:xVal>
          <c:yVal>
            <c:numRef>
              <c:f>'Battery Capacity'!$E$41:$E$43</c:f>
              <c:numCache>
                <c:formatCode>0.00</c:formatCode>
                <c:ptCount val="3"/>
                <c:pt idx="0">
                  <c:v>2.0542657999999996</c:v>
                </c:pt>
                <c:pt idx="1">
                  <c:v>2.20503385</c:v>
                </c:pt>
                <c:pt idx="2">
                  <c:v>2.2349728500000001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8E-4A6C-8004-1A6195875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8488"/>
        <c:axId val="866888816"/>
      </c:scatterChart>
      <c:valAx>
        <c:axId val="8668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816"/>
        <c:crosses val="autoZero"/>
        <c:crossBetween val="midCat"/>
      </c:valAx>
      <c:valAx>
        <c:axId val="8668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</a:t>
                </a:r>
                <a:r>
                  <a:rPr lang="en-US" baseline="0"/>
                  <a:t> Capacity (Watt-hours)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88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30</xdr:row>
      <xdr:rowOff>161926</xdr:rowOff>
    </xdr:from>
    <xdr:to>
      <xdr:col>18</xdr:col>
      <xdr:colOff>19050</xdr:colOff>
      <xdr:row>46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369EE8-9F50-4AA4-BCF4-C87277FF7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142874</xdr:colOff>
      <xdr:row>30</xdr:row>
      <xdr:rowOff>171450</xdr:rowOff>
    </xdr:from>
    <xdr:to>
      <xdr:col>23</xdr:col>
      <xdr:colOff>114299</xdr:colOff>
      <xdr:row>47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F5F5E4-3F85-4B8E-AF0E-C52DFCFE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504825</xdr:colOff>
      <xdr:row>48</xdr:row>
      <xdr:rowOff>95250</xdr:rowOff>
    </xdr:from>
    <xdr:to>
      <xdr:col>15</xdr:col>
      <xdr:colOff>200025</xdr:colOff>
      <xdr:row>64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E9047E-C0DD-4CED-8EC9-BEE09CA0F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438150</xdr:colOff>
      <xdr:row>48</xdr:row>
      <xdr:rowOff>104775</xdr:rowOff>
    </xdr:from>
    <xdr:to>
      <xdr:col>23</xdr:col>
      <xdr:colOff>133350</xdr:colOff>
      <xdr:row>64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8C70496-0746-48CA-8D1B-A78A18C2F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457200</xdr:colOff>
      <xdr:row>48</xdr:row>
      <xdr:rowOff>123825</xdr:rowOff>
    </xdr:from>
    <xdr:to>
      <xdr:col>31</xdr:col>
      <xdr:colOff>152400</xdr:colOff>
      <xdr:row>64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2699E98-B7AD-42D2-A948-F4C8442B1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495300</xdr:colOff>
      <xdr:row>48</xdr:row>
      <xdr:rowOff>123825</xdr:rowOff>
    </xdr:from>
    <xdr:to>
      <xdr:col>39</xdr:col>
      <xdr:colOff>190500</xdr:colOff>
      <xdr:row>64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8FF9CE-8A48-434F-BA47-3D21A8C48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9525</xdr:colOff>
      <xdr:row>67</xdr:row>
      <xdr:rowOff>104775</xdr:rowOff>
    </xdr:from>
    <xdr:to>
      <xdr:col>15</xdr:col>
      <xdr:colOff>285750</xdr:colOff>
      <xdr:row>85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67E8E9E-C52F-49C1-81C1-74E6FE3B3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428625</xdr:colOff>
      <xdr:row>33</xdr:row>
      <xdr:rowOff>9525</xdr:rowOff>
    </xdr:from>
    <xdr:to>
      <xdr:col>31</xdr:col>
      <xdr:colOff>123825</xdr:colOff>
      <xdr:row>47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4671B50-8F5B-44D2-8E44-DB9E19A40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interberrywildife.ouroneacrefarm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EEB48-B887-44F3-94A0-2D676FF4F0FD}">
  <sheetPr codeName="Sheet1"/>
  <dimension ref="A2:B10"/>
  <sheetViews>
    <sheetView workbookViewId="0">
      <selection activeCell="B3" sqref="B3"/>
    </sheetView>
  </sheetViews>
  <sheetFormatPr defaultRowHeight="15" x14ac:dyDescent="0.25"/>
  <cols>
    <col min="1" max="1" width="22.5703125" customWidth="1"/>
    <col min="2" max="2" width="80.140625" customWidth="1"/>
    <col min="3" max="3" width="15.42578125" bestFit="1" customWidth="1"/>
    <col min="4" max="4" width="22.28515625" bestFit="1" customWidth="1"/>
    <col min="5" max="5" width="15.140625" bestFit="1" customWidth="1"/>
    <col min="6" max="6" width="15.140625" customWidth="1"/>
    <col min="7" max="7" width="22.85546875" bestFit="1" customWidth="1"/>
  </cols>
  <sheetData>
    <row r="2" spans="1:2" x14ac:dyDescent="0.25">
      <c r="A2" s="12">
        <v>44494</v>
      </c>
      <c r="B2" t="s">
        <v>73</v>
      </c>
    </row>
    <row r="4" spans="1:2" x14ac:dyDescent="0.25">
      <c r="A4" t="s">
        <v>54</v>
      </c>
    </row>
    <row r="5" spans="1:2" x14ac:dyDescent="0.25">
      <c r="A5" s="13" t="s">
        <v>51</v>
      </c>
    </row>
    <row r="7" spans="1:2" x14ac:dyDescent="0.25">
      <c r="A7" t="s">
        <v>52</v>
      </c>
      <c r="B7" t="s">
        <v>53</v>
      </c>
    </row>
    <row r="8" spans="1:2" x14ac:dyDescent="0.25">
      <c r="A8" t="s">
        <v>55</v>
      </c>
      <c r="B8" t="s">
        <v>56</v>
      </c>
    </row>
    <row r="10" spans="1:2" x14ac:dyDescent="0.25">
      <c r="A10" s="10" t="s">
        <v>57</v>
      </c>
    </row>
  </sheetData>
  <hyperlinks>
    <hyperlink ref="A5" r:id="rId1" xr:uid="{B08AF0DB-D3FA-4AA5-A51C-6318E9539EF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08EDB-B36E-41E6-89DB-F1DFFCCDE7F9}">
  <sheetPr codeName="Sheet2">
    <pageSetUpPr fitToPage="1"/>
  </sheetPr>
  <dimension ref="A1:S75"/>
  <sheetViews>
    <sheetView tabSelected="1" topLeftCell="A37" zoomScaleNormal="100" workbookViewId="0">
      <selection activeCell="G28" sqref="G28"/>
    </sheetView>
  </sheetViews>
  <sheetFormatPr defaultRowHeight="15" x14ac:dyDescent="0.25"/>
  <cols>
    <col min="1" max="1" width="36.7109375" customWidth="1"/>
    <col min="2" max="2" width="10.5703125" bestFit="1" customWidth="1"/>
  </cols>
  <sheetData>
    <row r="1" spans="1:19" ht="18.75" x14ac:dyDescent="0.3">
      <c r="A1" s="14" t="s">
        <v>58</v>
      </c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</row>
    <row r="2" spans="1:19" x14ac:dyDescent="0.25">
      <c r="A2" s="2" t="s">
        <v>33</v>
      </c>
      <c r="B2" s="10">
        <v>8</v>
      </c>
      <c r="C2" t="s">
        <v>46</v>
      </c>
    </row>
    <row r="3" spans="1:19" x14ac:dyDescent="0.25">
      <c r="A3" s="2" t="s">
        <v>93</v>
      </c>
      <c r="B3" s="3">
        <f>B4*B5/1000</f>
        <v>2.3759999999999999</v>
      </c>
      <c r="C3" t="s">
        <v>34</v>
      </c>
    </row>
    <row r="4" spans="1:19" x14ac:dyDescent="0.25">
      <c r="A4" s="7" t="s">
        <v>30</v>
      </c>
      <c r="B4" s="10">
        <v>13.2</v>
      </c>
      <c r="C4" t="s">
        <v>48</v>
      </c>
    </row>
    <row r="5" spans="1:19" x14ac:dyDescent="0.25">
      <c r="A5" s="7" t="s">
        <v>47</v>
      </c>
      <c r="B5" s="10">
        <v>180</v>
      </c>
      <c r="C5" t="s">
        <v>32</v>
      </c>
    </row>
    <row r="6" spans="1:19" x14ac:dyDescent="0.25">
      <c r="A6" s="15" t="s">
        <v>94</v>
      </c>
      <c r="B6" s="3">
        <f>B7*B8/1000</f>
        <v>6.1512000000000002</v>
      </c>
      <c r="C6" t="s">
        <v>34</v>
      </c>
    </row>
    <row r="7" spans="1:19" x14ac:dyDescent="0.25">
      <c r="A7" s="7" t="s">
        <v>30</v>
      </c>
      <c r="B7" s="10">
        <v>13.2</v>
      </c>
      <c r="C7" t="s">
        <v>48</v>
      </c>
    </row>
    <row r="8" spans="1:19" x14ac:dyDescent="0.25">
      <c r="A8" s="7" t="s">
        <v>47</v>
      </c>
      <c r="B8" s="10">
        <v>466</v>
      </c>
      <c r="C8" t="s">
        <v>32</v>
      </c>
    </row>
    <row r="9" spans="1:19" x14ac:dyDescent="0.25">
      <c r="A9" s="15" t="s">
        <v>49</v>
      </c>
    </row>
    <row r="10" spans="1:19" x14ac:dyDescent="0.25">
      <c r="A10" s="7" t="s">
        <v>50</v>
      </c>
      <c r="B10" s="11">
        <v>0.98</v>
      </c>
    </row>
    <row r="11" spans="1:19" x14ac:dyDescent="0.25">
      <c r="A11" s="7" t="s">
        <v>35</v>
      </c>
      <c r="B11" s="9">
        <f>1-B10</f>
        <v>2.0000000000000018E-2</v>
      </c>
    </row>
    <row r="12" spans="1:19" x14ac:dyDescent="0.25">
      <c r="A12" s="15" t="s">
        <v>66</v>
      </c>
      <c r="B12" s="16">
        <f>(B10*B3)+(B11*B6)</f>
        <v>2.4515039999999999</v>
      </c>
      <c r="C12" t="s">
        <v>34</v>
      </c>
      <c r="E12" s="5"/>
      <c r="L12" s="3"/>
      <c r="M12" s="3"/>
      <c r="N12" s="3"/>
      <c r="O12" s="3"/>
      <c r="P12" s="3"/>
      <c r="Q12" s="3"/>
      <c r="R12" s="3"/>
      <c r="S12" s="3"/>
    </row>
    <row r="13" spans="1:19" x14ac:dyDescent="0.25">
      <c r="E13" s="5"/>
      <c r="L13" s="3"/>
      <c r="M13" s="3"/>
      <c r="N13" s="3"/>
      <c r="O13" s="3"/>
      <c r="P13" s="3"/>
      <c r="Q13" s="3"/>
      <c r="R13" s="3"/>
      <c r="S13" s="3"/>
    </row>
    <row r="14" spans="1:19" s="2" customFormat="1" x14ac:dyDescent="0.25">
      <c r="A14" s="2" t="s">
        <v>41</v>
      </c>
    </row>
    <row r="15" spans="1:19" x14ac:dyDescent="0.25">
      <c r="A15" t="s">
        <v>61</v>
      </c>
      <c r="B15" s="5">
        <f>(B16/1000)/(B17/(60*60))</f>
        <v>11.501999999999999</v>
      </c>
      <c r="C15" t="s">
        <v>42</v>
      </c>
    </row>
    <row r="16" spans="1:19" x14ac:dyDescent="0.25">
      <c r="A16" s="7" t="s">
        <v>62</v>
      </c>
      <c r="B16" s="10">
        <v>63.9</v>
      </c>
      <c r="C16" t="s">
        <v>68</v>
      </c>
    </row>
    <row r="17" spans="1:19" x14ac:dyDescent="0.25">
      <c r="A17" s="7" t="s">
        <v>63</v>
      </c>
      <c r="B17" s="10">
        <v>20</v>
      </c>
      <c r="C17" t="s">
        <v>64</v>
      </c>
    </row>
    <row r="18" spans="1:19" x14ac:dyDescent="0.25">
      <c r="A18" t="s">
        <v>35</v>
      </c>
      <c r="B18" s="3">
        <f>(B19/1000)/(B20/(60*60))</f>
        <v>5.7059999999999995</v>
      </c>
      <c r="C18" t="s">
        <v>42</v>
      </c>
    </row>
    <row r="19" spans="1:19" x14ac:dyDescent="0.25">
      <c r="A19" s="7" t="s">
        <v>62</v>
      </c>
      <c r="B19" s="10">
        <v>31.7</v>
      </c>
      <c r="C19" t="s">
        <v>65</v>
      </c>
    </row>
    <row r="20" spans="1:19" x14ac:dyDescent="0.25">
      <c r="A20" s="7" t="s">
        <v>63</v>
      </c>
      <c r="B20" s="10">
        <v>20</v>
      </c>
      <c r="C20" t="s">
        <v>64</v>
      </c>
    </row>
    <row r="21" spans="1:19" x14ac:dyDescent="0.25">
      <c r="A21" s="7"/>
    </row>
    <row r="22" spans="1:19" x14ac:dyDescent="0.25">
      <c r="A22" s="8" t="s">
        <v>67</v>
      </c>
      <c r="B22" s="5">
        <f>(B10*B15)+(B11*B18)</f>
        <v>11.386079999999998</v>
      </c>
      <c r="C22" t="s">
        <v>42</v>
      </c>
    </row>
    <row r="23" spans="1:19" x14ac:dyDescent="0.25">
      <c r="A23" s="8"/>
    </row>
    <row r="24" spans="1:19" x14ac:dyDescent="0.25">
      <c r="E24" s="5"/>
    </row>
    <row r="25" spans="1:19" s="17" customFormat="1" ht="18.75" x14ac:dyDescent="0.3">
      <c r="A25" s="14" t="s">
        <v>59</v>
      </c>
      <c r="E25" s="18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2" t="s">
        <v>69</v>
      </c>
      <c r="E26" s="5"/>
      <c r="L26" s="3"/>
      <c r="M26" s="3"/>
      <c r="N26" s="3"/>
      <c r="O26" s="3"/>
      <c r="P26" s="3"/>
      <c r="Q26" s="3"/>
      <c r="R26" s="3"/>
      <c r="S26" s="3"/>
    </row>
    <row r="27" spans="1:19" x14ac:dyDescent="0.25">
      <c r="A27" t="s">
        <v>31</v>
      </c>
      <c r="B27" s="2">
        <v>100</v>
      </c>
      <c r="C27" s="2" t="s">
        <v>32</v>
      </c>
    </row>
    <row r="28" spans="1:19" x14ac:dyDescent="0.25">
      <c r="A28" s="2" t="s">
        <v>60</v>
      </c>
      <c r="B28" s="2" t="s">
        <v>0</v>
      </c>
      <c r="C28" s="2" t="s">
        <v>1</v>
      </c>
      <c r="D28" s="2" t="s">
        <v>45</v>
      </c>
      <c r="E28" s="2" t="s">
        <v>2</v>
      </c>
      <c r="F28" s="2" t="s">
        <v>95</v>
      </c>
    </row>
    <row r="29" spans="1:19" x14ac:dyDescent="0.25">
      <c r="A29" s="2">
        <v>0</v>
      </c>
      <c r="B29" s="3">
        <v>5.0208567415730334</v>
      </c>
      <c r="C29">
        <v>0.48749999999999999</v>
      </c>
      <c r="D29" s="3">
        <v>2.2998324999999999</v>
      </c>
      <c r="E29" s="3">
        <v>2.0644899999999997</v>
      </c>
      <c r="F29" s="3">
        <f>F30*D29/D30</f>
        <v>8.2758854781309719</v>
      </c>
    </row>
    <row r="30" spans="1:19" x14ac:dyDescent="0.25">
      <c r="A30" s="2">
        <v>40</v>
      </c>
      <c r="B30" s="3">
        <v>5.2292837078651679</v>
      </c>
      <c r="C30">
        <v>2.3624999999999998</v>
      </c>
      <c r="D30" s="3">
        <v>2.5547424999999997</v>
      </c>
      <c r="E30" s="3">
        <v>2.2054499999999999</v>
      </c>
      <c r="F30" s="3">
        <f>F31*D30/D31</f>
        <v>9.1931722662907021</v>
      </c>
    </row>
    <row r="31" spans="1:19" x14ac:dyDescent="0.25">
      <c r="A31" s="2">
        <v>72</v>
      </c>
      <c r="B31" s="3">
        <v>5.3</v>
      </c>
      <c r="C31">
        <v>3.375</v>
      </c>
      <c r="D31" s="3">
        <v>2.7094825</v>
      </c>
      <c r="E31" s="3">
        <v>2.2329824999999999</v>
      </c>
      <c r="F31">
        <f>78/8</f>
        <v>9.75</v>
      </c>
    </row>
    <row r="33" spans="1:6" x14ac:dyDescent="0.25">
      <c r="A33" t="s">
        <v>31</v>
      </c>
      <c r="B33" s="2">
        <v>300</v>
      </c>
      <c r="C33" s="2" t="s">
        <v>32</v>
      </c>
    </row>
    <row r="34" spans="1:6" x14ac:dyDescent="0.25">
      <c r="A34" s="2" t="s">
        <v>60</v>
      </c>
      <c r="B34" s="2" t="s">
        <v>0</v>
      </c>
      <c r="C34" s="2" t="s">
        <v>1</v>
      </c>
      <c r="D34" s="2" t="s">
        <v>45</v>
      </c>
      <c r="E34" s="2" t="s">
        <v>2</v>
      </c>
      <c r="F34" s="2" t="s">
        <v>95</v>
      </c>
    </row>
    <row r="35" spans="1:6" x14ac:dyDescent="0.25">
      <c r="A35" s="2">
        <v>0</v>
      </c>
      <c r="B35" s="3">
        <v>4.8384831460674151</v>
      </c>
      <c r="C35">
        <v>0.22500000000000001</v>
      </c>
      <c r="D35" s="3">
        <v>2.3351899999999999</v>
      </c>
      <c r="E35" s="3">
        <v>1.55328</v>
      </c>
      <c r="F35" s="3">
        <f>F36*D35/D36</f>
        <v>8.5758875813473008</v>
      </c>
    </row>
    <row r="36" spans="1:6" x14ac:dyDescent="0.25">
      <c r="A36" s="2">
        <v>40</v>
      </c>
      <c r="B36" s="3">
        <v>5.1734550561797752</v>
      </c>
      <c r="C36">
        <v>1.05</v>
      </c>
      <c r="D36" s="3">
        <v>2.5981775000000003</v>
      </c>
      <c r="E36" s="3">
        <v>2.1846424999999998</v>
      </c>
      <c r="F36" s="3">
        <f>F37*D36/D37</f>
        <v>9.5416981729049795</v>
      </c>
    </row>
    <row r="37" spans="1:6" x14ac:dyDescent="0.25">
      <c r="A37" s="2">
        <v>72</v>
      </c>
      <c r="B37" s="3">
        <v>5.3</v>
      </c>
      <c r="C37">
        <v>2.85</v>
      </c>
      <c r="D37" s="3">
        <v>2.6548975000000001</v>
      </c>
      <c r="E37" s="3">
        <v>2.3325</v>
      </c>
      <c r="F37">
        <f>78/8</f>
        <v>9.75</v>
      </c>
    </row>
    <row r="38" spans="1:6" x14ac:dyDescent="0.25">
      <c r="A38" s="2"/>
      <c r="B38" s="3"/>
      <c r="D38" s="3"/>
      <c r="E38" s="3"/>
    </row>
    <row r="39" spans="1:6" x14ac:dyDescent="0.25">
      <c r="A39" s="2" t="s">
        <v>71</v>
      </c>
      <c r="B39" s="3"/>
      <c r="D39" s="3"/>
      <c r="E39" s="3"/>
    </row>
    <row r="40" spans="1:6" x14ac:dyDescent="0.25">
      <c r="A40" s="2" t="s">
        <v>60</v>
      </c>
      <c r="B40" s="2" t="s">
        <v>0</v>
      </c>
      <c r="C40" s="2" t="s">
        <v>1</v>
      </c>
      <c r="D40" s="2" t="s">
        <v>45</v>
      </c>
      <c r="E40" s="2" t="s">
        <v>2</v>
      </c>
      <c r="F40" s="2" t="s">
        <v>95</v>
      </c>
    </row>
    <row r="41" spans="1:6" x14ac:dyDescent="0.25">
      <c r="A41">
        <v>0</v>
      </c>
      <c r="B41" s="3">
        <f>(B29*$B$10)+$B$11*B35</f>
        <v>5.0172092696629207</v>
      </c>
      <c r="C41" s="3">
        <f t="shared" ref="C41:E41" si="0">(C29*$B$10)+$B$11*C35</f>
        <v>0.48225000000000001</v>
      </c>
      <c r="D41" s="3">
        <f t="shared" si="0"/>
        <v>2.3005396499999997</v>
      </c>
      <c r="E41" s="3">
        <f t="shared" si="0"/>
        <v>2.0542657999999996</v>
      </c>
      <c r="F41" s="3">
        <f t="shared" ref="F41" si="1">(F29*$B$10)+$B$11*F35</f>
        <v>8.2818855201952992</v>
      </c>
    </row>
    <row r="42" spans="1:6" x14ac:dyDescent="0.25">
      <c r="A42">
        <v>40</v>
      </c>
      <c r="B42" s="3">
        <f t="shared" ref="B42:E42" si="2">(B30*$B$10)+$B$11*B36</f>
        <v>5.2281671348314598</v>
      </c>
      <c r="C42" s="3">
        <f t="shared" si="2"/>
        <v>2.3362499999999997</v>
      </c>
      <c r="D42" s="3">
        <f t="shared" si="2"/>
        <v>2.5556111999999995</v>
      </c>
      <c r="E42" s="3">
        <f t="shared" si="2"/>
        <v>2.20503385</v>
      </c>
      <c r="F42" s="3">
        <f t="shared" ref="F42" si="3">(F30*$B$10)+$B$11*F36</f>
        <v>9.2001427844229884</v>
      </c>
    </row>
    <row r="43" spans="1:6" x14ac:dyDescent="0.25">
      <c r="A43">
        <v>72</v>
      </c>
      <c r="B43" s="3">
        <f t="shared" ref="B43:E43" si="4">(B31*$B$10)+$B$11*B37</f>
        <v>5.3</v>
      </c>
      <c r="C43" s="3">
        <f t="shared" si="4"/>
        <v>3.3645</v>
      </c>
      <c r="D43" s="3">
        <f t="shared" si="4"/>
        <v>2.7083908000000001</v>
      </c>
      <c r="E43" s="3">
        <f t="shared" si="4"/>
        <v>2.2349728500000001</v>
      </c>
      <c r="F43" s="3">
        <f t="shared" ref="F43" si="5">(F31*$B$10)+$B$11*F37</f>
        <v>9.75</v>
      </c>
    </row>
    <row r="44" spans="1:6" x14ac:dyDescent="0.25">
      <c r="B44" s="3"/>
      <c r="C44" s="3"/>
      <c r="D44" s="3"/>
      <c r="E44" s="3"/>
    </row>
    <row r="45" spans="1:6" ht="18.75" x14ac:dyDescent="0.3">
      <c r="A45" s="14" t="s">
        <v>70</v>
      </c>
    </row>
    <row r="47" spans="1:6" x14ac:dyDescent="0.25">
      <c r="A47" s="2" t="s">
        <v>36</v>
      </c>
    </row>
    <row r="48" spans="1:6" x14ac:dyDescent="0.25">
      <c r="A48" s="2" t="s">
        <v>60</v>
      </c>
      <c r="B48" s="2" t="s">
        <v>0</v>
      </c>
      <c r="C48" s="2" t="s">
        <v>1</v>
      </c>
      <c r="D48" s="2" t="s">
        <v>45</v>
      </c>
      <c r="E48" s="2" t="s">
        <v>37</v>
      </c>
      <c r="F48" s="2" t="s">
        <v>95</v>
      </c>
    </row>
    <row r="49" spans="1:6" x14ac:dyDescent="0.25">
      <c r="A49">
        <f>A29</f>
        <v>0</v>
      </c>
      <c r="B49" s="5">
        <f t="shared" ref="B49:E51" si="6">$B$2*B41/$B$12</f>
        <v>16.372673329231102</v>
      </c>
      <c r="C49" s="5">
        <f t="shared" si="6"/>
        <v>1.5737278013823353</v>
      </c>
      <c r="D49" s="5">
        <f t="shared" si="6"/>
        <v>7.5073576057799611</v>
      </c>
      <c r="E49" s="5">
        <f t="shared" si="6"/>
        <v>6.7036914481885397</v>
      </c>
      <c r="F49" s="5">
        <f t="shared" ref="F49" si="7">$B$2*F41/$B$12</f>
        <v>27.026300655255874</v>
      </c>
    </row>
    <row r="50" spans="1:6" x14ac:dyDescent="0.25">
      <c r="A50">
        <f>A30</f>
        <v>40</v>
      </c>
      <c r="B50" s="5">
        <f t="shared" si="6"/>
        <v>17.061092732727207</v>
      </c>
      <c r="C50" s="5">
        <f t="shared" si="6"/>
        <v>7.6238912928553244</v>
      </c>
      <c r="D50" s="5">
        <f t="shared" si="6"/>
        <v>8.3397333228907637</v>
      </c>
      <c r="E50" s="5">
        <f t="shared" si="6"/>
        <v>7.1956932560583216</v>
      </c>
      <c r="F50" s="5">
        <f t="shared" ref="F50" si="8">$B$2*F42/$B$12</f>
        <v>30.022852206394077</v>
      </c>
    </row>
    <row r="51" spans="1:6" x14ac:dyDescent="0.25">
      <c r="A51">
        <f>A31</f>
        <v>72</v>
      </c>
      <c r="B51" s="5">
        <f t="shared" si="6"/>
        <v>17.295505126648784</v>
      </c>
      <c r="C51" s="5">
        <f t="shared" si="6"/>
        <v>10.979382452567894</v>
      </c>
      <c r="D51" s="5">
        <f t="shared" si="6"/>
        <v>8.8382994276166809</v>
      </c>
      <c r="E51" s="5">
        <f t="shared" si="6"/>
        <v>7.2933932802067636</v>
      </c>
      <c r="F51" s="5">
        <f t="shared" ref="F51" si="9">$B$2*F43/$B$12</f>
        <v>31.817202827325595</v>
      </c>
    </row>
    <row r="53" spans="1:6" x14ac:dyDescent="0.25">
      <c r="A53" s="2" t="s">
        <v>38</v>
      </c>
    </row>
    <row r="54" spans="1:6" x14ac:dyDescent="0.25">
      <c r="A54" s="2" t="s">
        <v>72</v>
      </c>
      <c r="B54" s="2" t="s">
        <v>44</v>
      </c>
      <c r="C54" s="2" t="s">
        <v>1</v>
      </c>
      <c r="D54" s="2" t="s">
        <v>45</v>
      </c>
      <c r="E54" s="2" t="s">
        <v>37</v>
      </c>
      <c r="F54" s="2" t="s">
        <v>95</v>
      </c>
    </row>
    <row r="55" spans="1:6" x14ac:dyDescent="0.25">
      <c r="A55">
        <f>A49</f>
        <v>0</v>
      </c>
      <c r="B55" s="6">
        <f t="shared" ref="B55:E57" si="10">B49*60</f>
        <v>982.36039975386609</v>
      </c>
      <c r="C55" s="6">
        <f t="shared" si="10"/>
        <v>94.423668082940111</v>
      </c>
      <c r="D55" s="6">
        <f t="shared" si="10"/>
        <v>450.44145634679768</v>
      </c>
      <c r="E55" s="6">
        <f t="shared" si="10"/>
        <v>402.2214868913124</v>
      </c>
      <c r="F55" s="6">
        <f t="shared" ref="F55" si="11">F49*60</f>
        <v>1621.5780393153525</v>
      </c>
    </row>
    <row r="56" spans="1:6" x14ac:dyDescent="0.25">
      <c r="A56">
        <f>A50</f>
        <v>40</v>
      </c>
      <c r="B56" s="6">
        <f t="shared" si="10"/>
        <v>1023.6655639636324</v>
      </c>
      <c r="C56" s="6">
        <f t="shared" si="10"/>
        <v>457.43347757131949</v>
      </c>
      <c r="D56" s="6">
        <f t="shared" si="10"/>
        <v>500.38399937344582</v>
      </c>
      <c r="E56" s="6">
        <f t="shared" si="10"/>
        <v>431.7415953634993</v>
      </c>
      <c r="F56" s="6">
        <f t="shared" ref="F56" si="12">F50*60</f>
        <v>1801.3711323836446</v>
      </c>
    </row>
    <row r="57" spans="1:6" x14ac:dyDescent="0.25">
      <c r="A57">
        <f>A51</f>
        <v>72</v>
      </c>
      <c r="B57" s="6">
        <f t="shared" si="10"/>
        <v>1037.7303075989271</v>
      </c>
      <c r="C57" s="6">
        <f t="shared" si="10"/>
        <v>658.76294715407357</v>
      </c>
      <c r="D57" s="6">
        <f t="shared" si="10"/>
        <v>530.29796565700087</v>
      </c>
      <c r="E57" s="6">
        <f t="shared" si="10"/>
        <v>437.60359681240584</v>
      </c>
      <c r="F57" s="6">
        <f t="shared" ref="F57" si="13">F51*60</f>
        <v>1909.0321696395356</v>
      </c>
    </row>
    <row r="59" spans="1:6" x14ac:dyDescent="0.25">
      <c r="A59" s="2" t="s">
        <v>39</v>
      </c>
    </row>
    <row r="60" spans="1:6" x14ac:dyDescent="0.25">
      <c r="A60" s="2" t="s">
        <v>72</v>
      </c>
      <c r="B60" s="2" t="str">
        <f>B54</f>
        <v>LiFe2S2</v>
      </c>
      <c r="C60" s="2" t="s">
        <v>1</v>
      </c>
      <c r="D60" s="2" t="str">
        <f>D54</f>
        <v>Li-ion</v>
      </c>
      <c r="E60" s="2" t="s">
        <v>37</v>
      </c>
      <c r="F60" s="2" t="s">
        <v>95</v>
      </c>
    </row>
    <row r="61" spans="1:6" x14ac:dyDescent="0.25">
      <c r="A61">
        <f>A55</f>
        <v>0</v>
      </c>
      <c r="B61" s="6">
        <f t="shared" ref="B61:E63" si="14">B49*120</f>
        <v>1964.7207995077322</v>
      </c>
      <c r="C61" s="6">
        <f t="shared" si="14"/>
        <v>188.84733616588022</v>
      </c>
      <c r="D61" s="6">
        <f t="shared" si="14"/>
        <v>900.88291269359536</v>
      </c>
      <c r="E61" s="6">
        <f t="shared" si="14"/>
        <v>804.44297378262479</v>
      </c>
      <c r="F61" s="6">
        <f t="shared" ref="F61" si="15">F49*120</f>
        <v>3243.156078630705</v>
      </c>
    </row>
    <row r="62" spans="1:6" x14ac:dyDescent="0.25">
      <c r="A62">
        <f t="shared" ref="A62:A63" si="16">A56</f>
        <v>40</v>
      </c>
      <c r="B62" s="6">
        <f t="shared" si="14"/>
        <v>2047.3311279272648</v>
      </c>
      <c r="C62" s="6">
        <f t="shared" si="14"/>
        <v>914.86695514263897</v>
      </c>
      <c r="D62" s="6">
        <f t="shared" si="14"/>
        <v>1000.7679987468916</v>
      </c>
      <c r="E62" s="6">
        <f t="shared" si="14"/>
        <v>863.4831907269986</v>
      </c>
      <c r="F62" s="6">
        <f t="shared" ref="F62" si="17">F50*120</f>
        <v>3602.7422647672893</v>
      </c>
    </row>
    <row r="63" spans="1:6" x14ac:dyDescent="0.25">
      <c r="A63">
        <f t="shared" si="16"/>
        <v>72</v>
      </c>
      <c r="B63" s="6">
        <f t="shared" si="14"/>
        <v>2075.4606151978542</v>
      </c>
      <c r="C63" s="6">
        <f t="shared" si="14"/>
        <v>1317.5258943081471</v>
      </c>
      <c r="D63" s="6">
        <f t="shared" si="14"/>
        <v>1060.5959313140017</v>
      </c>
      <c r="E63" s="6">
        <f t="shared" si="14"/>
        <v>875.20719362481168</v>
      </c>
      <c r="F63" s="6">
        <f t="shared" ref="F63" si="18">F51*120</f>
        <v>3818.0643392790712</v>
      </c>
    </row>
    <row r="65" spans="1:6" x14ac:dyDescent="0.25">
      <c r="A65" s="2" t="s">
        <v>40</v>
      </c>
    </row>
    <row r="66" spans="1:6" x14ac:dyDescent="0.25">
      <c r="A66" s="2" t="s">
        <v>72</v>
      </c>
      <c r="B66" s="2" t="str">
        <f>B60</f>
        <v>LiFe2S2</v>
      </c>
      <c r="C66" s="2" t="s">
        <v>1</v>
      </c>
      <c r="D66" s="2" t="str">
        <f>D60</f>
        <v>Li-ion</v>
      </c>
      <c r="E66" s="2" t="s">
        <v>37</v>
      </c>
      <c r="F66" s="2" t="s">
        <v>95</v>
      </c>
    </row>
    <row r="67" spans="1:6" x14ac:dyDescent="0.25">
      <c r="A67">
        <f>A61</f>
        <v>0</v>
      </c>
      <c r="B67" s="6">
        <f t="shared" ref="B67:E69" si="19">B49*180</f>
        <v>2947.0811992615982</v>
      </c>
      <c r="C67" s="6">
        <f t="shared" si="19"/>
        <v>283.27100424882036</v>
      </c>
      <c r="D67" s="6">
        <f t="shared" si="19"/>
        <v>1351.3243690403931</v>
      </c>
      <c r="E67" s="6">
        <f t="shared" si="19"/>
        <v>1206.6644606739371</v>
      </c>
      <c r="F67" s="6">
        <f t="shared" ref="F67" si="20">F49*180</f>
        <v>4864.7341179460573</v>
      </c>
    </row>
    <row r="68" spans="1:6" x14ac:dyDescent="0.25">
      <c r="A68">
        <f t="shared" ref="A68:A69" si="21">A62</f>
        <v>40</v>
      </c>
      <c r="B68" s="6">
        <f t="shared" si="19"/>
        <v>3070.9966918908972</v>
      </c>
      <c r="C68" s="6">
        <f t="shared" si="19"/>
        <v>1372.3004327139583</v>
      </c>
      <c r="D68" s="6">
        <f t="shared" si="19"/>
        <v>1501.1519981203376</v>
      </c>
      <c r="E68" s="6">
        <f t="shared" si="19"/>
        <v>1295.2247860904979</v>
      </c>
      <c r="F68" s="6">
        <f t="shared" ref="F68" si="22">F50*180</f>
        <v>5404.1133971509335</v>
      </c>
    </row>
    <row r="69" spans="1:6" x14ac:dyDescent="0.25">
      <c r="A69">
        <f t="shared" si="21"/>
        <v>72</v>
      </c>
      <c r="B69" s="6">
        <f t="shared" si="19"/>
        <v>3113.1909227967813</v>
      </c>
      <c r="C69" s="6">
        <f t="shared" si="19"/>
        <v>1976.2888414622209</v>
      </c>
      <c r="D69" s="6">
        <f t="shared" si="19"/>
        <v>1590.8938969710025</v>
      </c>
      <c r="E69" s="6">
        <f t="shared" si="19"/>
        <v>1312.8107904372175</v>
      </c>
      <c r="F69" s="6">
        <f t="shared" ref="F69" si="23">F51*180</f>
        <v>5727.0965089186075</v>
      </c>
    </row>
    <row r="71" spans="1:6" x14ac:dyDescent="0.25">
      <c r="A71" s="2" t="s">
        <v>43</v>
      </c>
    </row>
    <row r="72" spans="1:6" x14ac:dyDescent="0.25">
      <c r="A72" s="2" t="s">
        <v>60</v>
      </c>
      <c r="B72" s="2" t="s">
        <v>0</v>
      </c>
      <c r="C72" s="2" t="s">
        <v>1</v>
      </c>
      <c r="D72" s="2" t="s">
        <v>45</v>
      </c>
      <c r="E72" s="2" t="s">
        <v>37</v>
      </c>
      <c r="F72" s="2" t="s">
        <v>95</v>
      </c>
    </row>
    <row r="73" spans="1:6" x14ac:dyDescent="0.25">
      <c r="A73">
        <f>A67</f>
        <v>0</v>
      </c>
      <c r="B73" s="6">
        <f>$B$22*B49</f>
        <v>186.42056834049163</v>
      </c>
      <c r="C73" s="6">
        <f t="shared" ref="C73:E73" si="24">$B$22*C49</f>
        <v>17.918590644763377</v>
      </c>
      <c r="D73" s="6">
        <f t="shared" si="24"/>
        <v>85.479374288019088</v>
      </c>
      <c r="E73" s="6">
        <f t="shared" si="24"/>
        <v>76.328767124390552</v>
      </c>
      <c r="F73" s="6">
        <f t="shared" ref="F73" si="25">$B$22*F49</f>
        <v>307.72362136479575</v>
      </c>
    </row>
    <row r="74" spans="1:6" x14ac:dyDescent="0.25">
      <c r="A74">
        <f t="shared" ref="A74:A75" si="26">A68</f>
        <v>40</v>
      </c>
      <c r="B74" s="6">
        <f t="shared" ref="B74:E74" si="27">$B$22*B50</f>
        <v>194.25896674225058</v>
      </c>
      <c r="C74" s="6">
        <f t="shared" si="27"/>
        <v>86.806236171754136</v>
      </c>
      <c r="D74" s="6">
        <f t="shared" si="27"/>
        <v>94.956870793100052</v>
      </c>
      <c r="E74" s="6">
        <f t="shared" si="27"/>
        <v>81.930739068940525</v>
      </c>
      <c r="F74" s="6">
        <f t="shared" ref="F74" si="28">$B$22*F50</f>
        <v>341.84259705017939</v>
      </c>
    </row>
    <row r="75" spans="1:6" x14ac:dyDescent="0.25">
      <c r="A75">
        <f t="shared" si="26"/>
        <v>72</v>
      </c>
      <c r="B75" s="6">
        <f t="shared" ref="B75:E75" si="29">$B$22*B51</f>
        <v>196.92800501243315</v>
      </c>
      <c r="C75" s="6">
        <f t="shared" si="29"/>
        <v>125.01212695553421</v>
      </c>
      <c r="D75" s="6">
        <f t="shared" si="29"/>
        <v>100.63358434679772</v>
      </c>
      <c r="E75" s="6">
        <f t="shared" si="29"/>
        <v>83.043159359896606</v>
      </c>
      <c r="F75" s="6">
        <f t="shared" ref="F75" si="30">$B$22*F51</f>
        <v>362.27321676815535</v>
      </c>
    </row>
  </sheetData>
  <mergeCells count="3">
    <mergeCell ref="G1:J1"/>
    <mergeCell ref="K1:N1"/>
    <mergeCell ref="O1:S1"/>
  </mergeCells>
  <pageMargins left="0.7" right="0.7" top="0.75" bottom="0.75" header="0.3" footer="0.3"/>
  <pageSetup scale="3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969E-6FA3-43C3-A7E8-89DA720AA958}">
  <sheetPr codeName="Sheet3"/>
  <dimension ref="A1:P136"/>
  <sheetViews>
    <sheetView topLeftCell="A34" workbookViewId="0">
      <selection activeCell="H24" sqref="H24"/>
    </sheetView>
  </sheetViews>
  <sheetFormatPr defaultRowHeight="15" x14ac:dyDescent="0.25"/>
  <cols>
    <col min="1" max="1" width="23.5703125" customWidth="1"/>
    <col min="2" max="4" width="9.28515625" bestFit="1" customWidth="1"/>
    <col min="5" max="5" width="9.42578125" customWidth="1"/>
    <col min="6" max="6" width="9.28515625" bestFit="1" customWidth="1"/>
    <col min="7" max="10" width="10.5703125" bestFit="1" customWidth="1"/>
    <col min="11" max="11" width="9.28515625" bestFit="1" customWidth="1"/>
    <col min="12" max="14" width="10.5703125" bestFit="1" customWidth="1"/>
  </cols>
  <sheetData>
    <row r="1" spans="1:7" x14ac:dyDescent="0.25">
      <c r="A1" s="2" t="s">
        <v>79</v>
      </c>
    </row>
    <row r="2" spans="1:7" x14ac:dyDescent="0.25">
      <c r="A2" s="2" t="s">
        <v>92</v>
      </c>
    </row>
    <row r="3" spans="1:7" x14ac:dyDescent="0.25">
      <c r="B3" t="s">
        <v>0</v>
      </c>
      <c r="C3" t="s">
        <v>8</v>
      </c>
      <c r="D3" t="s">
        <v>1</v>
      </c>
      <c r="E3" t="s">
        <v>2</v>
      </c>
    </row>
    <row r="4" spans="1:7" x14ac:dyDescent="0.25">
      <c r="A4" t="s">
        <v>25</v>
      </c>
      <c r="B4" s="10">
        <v>1</v>
      </c>
      <c r="C4" s="10">
        <v>1000</v>
      </c>
      <c r="D4" s="10">
        <v>1</v>
      </c>
      <c r="E4" s="10">
        <v>1000</v>
      </c>
    </row>
    <row r="5" spans="1:7" x14ac:dyDescent="0.25">
      <c r="A5" t="s">
        <v>28</v>
      </c>
      <c r="B5" s="10">
        <v>5</v>
      </c>
      <c r="C5" s="10">
        <v>5</v>
      </c>
      <c r="D5" s="10">
        <v>5</v>
      </c>
      <c r="E5" s="10">
        <v>5</v>
      </c>
      <c r="F5" t="s">
        <v>6</v>
      </c>
    </row>
    <row r="6" spans="1:7" x14ac:dyDescent="0.25">
      <c r="A6" t="s">
        <v>3</v>
      </c>
      <c r="B6" s="10">
        <v>5</v>
      </c>
      <c r="C6" s="10">
        <v>5</v>
      </c>
      <c r="D6" s="10">
        <v>5</v>
      </c>
      <c r="E6" s="10">
        <v>5</v>
      </c>
      <c r="F6" t="s">
        <v>6</v>
      </c>
    </row>
    <row r="7" spans="1:7" x14ac:dyDescent="0.25">
      <c r="A7" t="s">
        <v>4</v>
      </c>
      <c r="B7" s="10">
        <v>1</v>
      </c>
      <c r="C7" s="10">
        <v>1</v>
      </c>
      <c r="D7" s="10">
        <v>1</v>
      </c>
      <c r="E7" s="10">
        <v>1</v>
      </c>
      <c r="F7" t="s">
        <v>12</v>
      </c>
    </row>
    <row r="8" spans="1:7" x14ac:dyDescent="0.25">
      <c r="A8" s="21" t="s">
        <v>21</v>
      </c>
      <c r="B8" s="10">
        <v>1</v>
      </c>
      <c r="C8" s="10">
        <v>1</v>
      </c>
      <c r="D8" s="10">
        <v>1</v>
      </c>
      <c r="E8" s="10">
        <v>1</v>
      </c>
      <c r="F8" t="s">
        <v>22</v>
      </c>
    </row>
    <row r="9" spans="1:7" x14ac:dyDescent="0.25">
      <c r="A9" t="s">
        <v>5</v>
      </c>
      <c r="B9" s="10">
        <v>0.2</v>
      </c>
      <c r="C9" s="10">
        <v>0.2</v>
      </c>
      <c r="D9" s="10">
        <v>0.2</v>
      </c>
      <c r="E9" s="10">
        <v>0.2</v>
      </c>
    </row>
    <row r="10" spans="1:7" x14ac:dyDescent="0.25">
      <c r="A10" t="s">
        <v>15</v>
      </c>
      <c r="B10" s="3">
        <f>'Battery Capacity'!$B$3</f>
        <v>2.3759999999999999</v>
      </c>
      <c r="C10" s="3">
        <f>'Battery Capacity'!$B$3</f>
        <v>2.3759999999999999</v>
      </c>
      <c r="D10" s="3">
        <f>'Battery Capacity'!$B$3</f>
        <v>2.3759999999999999</v>
      </c>
      <c r="E10" s="3">
        <f>'Battery Capacity'!$B$3</f>
        <v>2.3759999999999999</v>
      </c>
      <c r="F10" t="s">
        <v>14</v>
      </c>
      <c r="G10" t="s">
        <v>76</v>
      </c>
    </row>
    <row r="11" spans="1:7" x14ac:dyDescent="0.25">
      <c r="A11" t="s">
        <v>74</v>
      </c>
      <c r="B11" s="3">
        <f>'Battery Capacity'!$B$6</f>
        <v>6.1512000000000002</v>
      </c>
      <c r="C11" s="3">
        <f>'Battery Capacity'!$B$6</f>
        <v>6.1512000000000002</v>
      </c>
      <c r="D11" s="3">
        <f>'Battery Capacity'!$B$6</f>
        <v>6.1512000000000002</v>
      </c>
      <c r="E11" s="3">
        <f>'Battery Capacity'!$B$6</f>
        <v>6.1512000000000002</v>
      </c>
      <c r="F11" t="s">
        <v>14</v>
      </c>
      <c r="G11" t="s">
        <v>76</v>
      </c>
    </row>
    <row r="12" spans="1:7" x14ac:dyDescent="0.25">
      <c r="A12" t="s">
        <v>16</v>
      </c>
      <c r="B12" s="3" cm="1">
        <f t="array" ref="B12">mean_power(B10,B11,B9)</f>
        <v>3.1310400000000005</v>
      </c>
      <c r="C12" s="3" cm="1">
        <f t="array" ref="C12">mean_power(C10,C11,C9)</f>
        <v>3.1310400000000005</v>
      </c>
      <c r="D12" s="3" cm="1">
        <f t="array" ref="D12">mean_power(D10,D11,D9)</f>
        <v>3.1310400000000005</v>
      </c>
      <c r="E12" s="3" cm="1">
        <f t="array" ref="E12">mean_power(E10,E11,E9)</f>
        <v>3.1310400000000005</v>
      </c>
      <c r="F12" t="s">
        <v>14</v>
      </c>
    </row>
    <row r="14" spans="1:7" x14ac:dyDescent="0.25">
      <c r="A14" t="s">
        <v>23</v>
      </c>
      <c r="B14">
        <f>B8*B7*B12</f>
        <v>3.1310400000000005</v>
      </c>
      <c r="C14">
        <f>C8*C7*C12</f>
        <v>3.1310400000000005</v>
      </c>
      <c r="D14">
        <f>D8*D7*D12</f>
        <v>3.1310400000000005</v>
      </c>
      <c r="E14">
        <f>E8*E7*E12</f>
        <v>3.1310400000000005</v>
      </c>
      <c r="F14" t="s">
        <v>14</v>
      </c>
    </row>
    <row r="16" spans="1:7" x14ac:dyDescent="0.25">
      <c r="A16" t="s">
        <v>7</v>
      </c>
      <c r="B16">
        <f>B19/B18</f>
        <v>0.92615471698113205</v>
      </c>
      <c r="C16">
        <f>C19/C18</f>
        <v>8</v>
      </c>
      <c r="D16">
        <f>D19/D18</f>
        <v>0.89563200000000009</v>
      </c>
      <c r="E16">
        <f>E19/E18</f>
        <v>0.84530434782608688</v>
      </c>
    </row>
    <row r="17" spans="1:7" x14ac:dyDescent="0.25">
      <c r="A17" t="s">
        <v>13</v>
      </c>
      <c r="B17">
        <v>5.3</v>
      </c>
      <c r="C17">
        <v>2.48</v>
      </c>
      <c r="D17">
        <f>1.5*2.5</f>
        <v>3.75</v>
      </c>
      <c r="E17">
        <f>2.3*1.1</f>
        <v>2.5299999999999998</v>
      </c>
      <c r="F17" t="s">
        <v>14</v>
      </c>
    </row>
    <row r="18" spans="1:7" x14ac:dyDescent="0.25">
      <c r="A18" t="s">
        <v>24</v>
      </c>
      <c r="B18">
        <f>B17*B26</f>
        <v>42.4</v>
      </c>
      <c r="C18">
        <f>C17*C26</f>
        <v>19.84</v>
      </c>
      <c r="D18">
        <f>D17*D26</f>
        <v>30</v>
      </c>
      <c r="E18">
        <f>E17*E26</f>
        <v>20.239999999999998</v>
      </c>
      <c r="F18" t="s">
        <v>14</v>
      </c>
    </row>
    <row r="19" spans="1:7" x14ac:dyDescent="0.25">
      <c r="A19" t="s">
        <v>18</v>
      </c>
      <c r="B19">
        <f>B18-B14</f>
        <v>39.26896</v>
      </c>
      <c r="C19">
        <f>C26*C18</f>
        <v>158.72</v>
      </c>
      <c r="D19">
        <f>D18-D14</f>
        <v>26.868960000000001</v>
      </c>
      <c r="E19">
        <f>E18-E14</f>
        <v>17.108959999999996</v>
      </c>
      <c r="F19" t="s">
        <v>14</v>
      </c>
    </row>
    <row r="21" spans="1:7" x14ac:dyDescent="0.25">
      <c r="A21" t="s">
        <v>19</v>
      </c>
      <c r="B21" s="5">
        <f>B5*12*B7*B12</f>
        <v>187.86240000000004</v>
      </c>
      <c r="C21" s="5">
        <f>C5*12*C7*C12</f>
        <v>187.86240000000004</v>
      </c>
      <c r="D21" s="5">
        <f>D5*12*D7*D12</f>
        <v>187.86240000000004</v>
      </c>
      <c r="E21" s="5">
        <f>E5*12*E7*E12</f>
        <v>187.86240000000004</v>
      </c>
      <c r="F21" t="s">
        <v>14</v>
      </c>
    </row>
    <row r="22" spans="1:7" x14ac:dyDescent="0.25">
      <c r="A22" t="s">
        <v>20</v>
      </c>
      <c r="B22" s="5" cm="1">
        <f t="array" ref="B22">lifetime_charges(B5,B7,B8,B10,B11,B9,B17,B26)</f>
        <v>4.4307169811320763</v>
      </c>
      <c r="C22" s="5" cm="1">
        <f t="array" ref="C22">lifetime_charges(C5,C7,C8,C10,C11,C9,C17,C26)</f>
        <v>8.5143476847034361</v>
      </c>
      <c r="D22" s="5" cm="1">
        <f t="array" ref="D22">lifetime_charges(D5,D7,D8,D10,D11,D9,D17,D26)</f>
        <v>6.262080000000001</v>
      </c>
      <c r="E22" s="5" cm="1">
        <f t="array" ref="E22">lifetime_charges(E5,E7,E8,E10,E11,E9,E17,E26)</f>
        <v>8.3645712321704782</v>
      </c>
    </row>
    <row r="23" spans="1:7" x14ac:dyDescent="0.25">
      <c r="A23" t="s">
        <v>26</v>
      </c>
      <c r="B23" cm="1">
        <f t="array" ref="B23">lifetime_batteries(B4,B5,B7,B8,B10,B11,B9,B17,B26)</f>
        <v>40</v>
      </c>
      <c r="C23" cm="1">
        <f t="array" ref="C23">lifetime_batteries(C4,C5,C7,C8,C10,C11,C9,C17,C26)</f>
        <v>8</v>
      </c>
      <c r="D23" cm="1">
        <f t="array" ref="D23">lifetime_batteries(D4,D5,D7,D8,D10,D11,D9,D17,D26)</f>
        <v>56</v>
      </c>
      <c r="E23" cm="1">
        <f t="array" ref="E23">lifetime_batteries(E4,E5,E7,E8,E10,E11,E9,E17,E26)</f>
        <v>8</v>
      </c>
    </row>
    <row r="25" spans="1:7" x14ac:dyDescent="0.25">
      <c r="A25" t="s">
        <v>75</v>
      </c>
      <c r="B25" s="20">
        <v>1.6</v>
      </c>
      <c r="C25" s="20">
        <f>199/20</f>
        <v>9.9499999999999993</v>
      </c>
      <c r="D25" s="20">
        <f>16.24/24</f>
        <v>0.67666666666666664</v>
      </c>
      <c r="E25" s="20">
        <f>38.99/12</f>
        <v>3.249166666666667</v>
      </c>
    </row>
    <row r="26" spans="1:7" x14ac:dyDescent="0.25">
      <c r="A26" t="s">
        <v>17</v>
      </c>
      <c r="B26" s="10">
        <v>8</v>
      </c>
      <c r="C26" s="10">
        <v>8</v>
      </c>
      <c r="D26" s="10">
        <v>8</v>
      </c>
      <c r="E26" s="10">
        <v>8</v>
      </c>
    </row>
    <row r="28" spans="1:7" x14ac:dyDescent="0.25">
      <c r="A28" t="s">
        <v>9</v>
      </c>
      <c r="B28" s="10">
        <v>1</v>
      </c>
      <c r="C28" s="10">
        <v>1</v>
      </c>
      <c r="D28" s="10">
        <v>1</v>
      </c>
      <c r="E28" s="10">
        <v>1</v>
      </c>
      <c r="G28" t="s">
        <v>77</v>
      </c>
    </row>
    <row r="30" spans="1:7" x14ac:dyDescent="0.25">
      <c r="A30" t="s">
        <v>11</v>
      </c>
      <c r="B30" cm="1">
        <f t="array" ref="B30">lifetime_batteries(B4,B5,B7,B8,B10,B11,B9,B17,B26)</f>
        <v>40</v>
      </c>
      <c r="C30" cm="1">
        <f t="array" ref="C30">lifetime_batteries(C4,C5,C7,C8,C10,C11,C9,C17,C26)</f>
        <v>8</v>
      </c>
      <c r="D30" cm="1">
        <f t="array" ref="D30">lifetime_batteries(D4,D5,D7,D8,D10,D11,D9,D17,D26)</f>
        <v>56</v>
      </c>
      <c r="E30" cm="1">
        <f t="array" ref="E30">lifetime_batteries(E4,E5,E7,E8,E10,E11,E9,E17,E26)</f>
        <v>8</v>
      </c>
    </row>
    <row r="32" spans="1:7" x14ac:dyDescent="0.25">
      <c r="A32" t="s">
        <v>10</v>
      </c>
      <c r="B32" s="1" cm="1">
        <f t="array" ref="B32">lifetime_cost(B4,B5,B7,B8,B10,B11,B9,B17,B26,B25)</f>
        <v>64</v>
      </c>
      <c r="C32" s="1" cm="1">
        <f t="array" ref="C32">lifetime_cost(C4,C5,C7,C8,C10,C11,C9,C17,C26,C25)</f>
        <v>79.599999999999994</v>
      </c>
      <c r="D32" s="1" cm="1">
        <f t="array" ref="D32">lifetime_cost(D4,D5,D7,D8,D10,D11,D9,D17,D26,D25)</f>
        <v>37.895200000000003</v>
      </c>
      <c r="E32" s="1" cm="1">
        <f t="array" ref="E32">lifetime_cost(E4,E5,E7,E8,E10,E11,E9,E17,E26,E25)</f>
        <v>25.993600000000001</v>
      </c>
    </row>
    <row r="36" spans="1:14" ht="18.75" x14ac:dyDescent="0.3">
      <c r="A36" s="14" t="s">
        <v>78</v>
      </c>
    </row>
    <row r="38" spans="1:14" x14ac:dyDescent="0.25">
      <c r="A38" s="2" t="s">
        <v>0</v>
      </c>
    </row>
    <row r="39" spans="1:14" x14ac:dyDescent="0.25">
      <c r="B39" s="2" t="s">
        <v>80</v>
      </c>
    </row>
    <row r="40" spans="1:14" x14ac:dyDescent="0.25">
      <c r="A40" s="2" t="s">
        <v>27</v>
      </c>
      <c r="B40" s="2">
        <v>0.5</v>
      </c>
      <c r="C40" s="2">
        <f>B40+0.5</f>
        <v>1</v>
      </c>
      <c r="D40" s="2">
        <f t="shared" ref="D40:N40" si="0">C40+0.5</f>
        <v>1.5</v>
      </c>
      <c r="E40" s="2">
        <f t="shared" si="0"/>
        <v>2</v>
      </c>
      <c r="F40" s="2">
        <f t="shared" si="0"/>
        <v>2.5</v>
      </c>
      <c r="G40" s="2">
        <f t="shared" si="0"/>
        <v>3</v>
      </c>
      <c r="H40" s="2">
        <f t="shared" si="0"/>
        <v>3.5</v>
      </c>
      <c r="I40" s="2">
        <f t="shared" si="0"/>
        <v>4</v>
      </c>
      <c r="J40" s="2">
        <f>I40+0.5</f>
        <v>4.5</v>
      </c>
      <c r="K40" s="2">
        <f t="shared" si="0"/>
        <v>5</v>
      </c>
      <c r="L40" s="2">
        <f t="shared" si="0"/>
        <v>5.5</v>
      </c>
      <c r="M40" s="2">
        <f t="shared" si="0"/>
        <v>6</v>
      </c>
      <c r="N40" s="2">
        <f t="shared" si="0"/>
        <v>6.5</v>
      </c>
    </row>
    <row r="41" spans="1:14" x14ac:dyDescent="0.25">
      <c r="A41" s="2">
        <v>1</v>
      </c>
      <c r="B41" s="4" cm="1">
        <f t="array" ref="B41">lifetime_cost($B$4,$B$5,B$40,$A41,$B$10,$B$11,$B$9,$B$17,$B$26,$B$25)</f>
        <v>38.4</v>
      </c>
      <c r="C41" s="4" cm="1">
        <f t="array" ref="C41">lifetime_cost($B$4,$B$5,C$40,$A41,$B$10,$B$11,$B$9,$B$17,$B$26,$B$25)</f>
        <v>64</v>
      </c>
      <c r="D41" s="4" cm="1">
        <f t="array" ref="D41">lifetime_cost($B$4,$B$5,D$40,$A41,$B$10,$B$11,$B$9,$B$17,$B$26,$B$25)</f>
        <v>89.6</v>
      </c>
      <c r="E41" s="4" cm="1">
        <f t="array" ref="E41">lifetime_cost($B$4,$B$5,E$40,$A41,$B$10,$B$11,$B$9,$B$17,$B$26,$B$25)</f>
        <v>115.2</v>
      </c>
      <c r="F41" s="4" cm="1">
        <f t="array" ref="F41">lifetime_cost($B$4,$B$5,F$40,$A41,$B$10,$B$11,$B$9,$B$17,$B$26,$B$25)</f>
        <v>140.80000000000001</v>
      </c>
      <c r="G41" s="4" cm="1">
        <f t="array" ref="G41">lifetime_cost($B$4,$B$5,G$40,$A41,$B$10,$B$11,$B$9,$B$17,$B$26,$B$25)</f>
        <v>153.6</v>
      </c>
      <c r="H41" s="4" cm="1">
        <f t="array" ref="H41">lifetime_cost($B$4,$B$5,H$40,$A41,$B$10,$B$11,$B$9,$B$17,$B$26,$B$25)</f>
        <v>166.4</v>
      </c>
      <c r="I41" s="4" cm="1">
        <f t="array" ref="I41">lifetime_cost($B$4,$B$5,I$40,$A41,$B$10,$B$11,$B$9,$B$17,$B$26,$B$25)</f>
        <v>217.6</v>
      </c>
      <c r="J41" s="4" cm="1">
        <f t="array" ref="J41">lifetime_cost($B$4,$B$5,J$40,$A41,$B$10,$B$11,$B$9,$B$17,$B$26,$B$25)</f>
        <v>256</v>
      </c>
      <c r="K41" s="4" cm="1">
        <f t="array" ref="K41">lifetime_cost($B$4,$B$5,K$40,$A41,$B$10,$B$11,$B$9,$B$17,$B$26,$B$25)</f>
        <v>217.6</v>
      </c>
      <c r="L41" s="4" cm="1">
        <f t="array" ref="L41">lifetime_cost($B$4,$B$5,L$40,$A41,$B$10,$B$11,$B$9,$B$17,$B$26,$B$25)</f>
        <v>256</v>
      </c>
      <c r="M41" s="4" cm="1">
        <f t="array" ref="M41">lifetime_cost($B$4,$B$5,M$40,$A41,$B$10,$B$11,$B$9,$B$17,$B$26,$B$25)</f>
        <v>320</v>
      </c>
      <c r="N41" s="4" cm="1">
        <f t="array" ref="N41">lifetime_cost($B$4,$B$5,N$40,$A41,$B$10,$B$11,$B$9,$B$17,$B$26,$B$25)</f>
        <v>358.4</v>
      </c>
    </row>
    <row r="42" spans="1:14" x14ac:dyDescent="0.25">
      <c r="A42" s="2">
        <v>2</v>
      </c>
      <c r="B42" s="4" cm="1">
        <f t="array" ref="B42">lifetime_cost($B$4,$B$5,B$40,$A42,$B$10,$B$11,$B$9,$B$17,$B$26,$B$25)</f>
        <v>38.4</v>
      </c>
      <c r="C42" s="4" cm="1">
        <f t="array" ref="C42">lifetime_cost($B$4,$B$5,C$40,$A42,$B$10,$B$11,$B$9,$B$17,$B$26,$B$25)</f>
        <v>64</v>
      </c>
      <c r="D42" s="4" cm="1">
        <f t="array" ref="D42">lifetime_cost($B$4,$B$5,D$40,$A42,$B$10,$B$11,$B$9,$B$17,$B$26,$B$25)</f>
        <v>76.8</v>
      </c>
      <c r="E42" s="4" cm="1">
        <f t="array" ref="E42">lifetime_cost($B$4,$B$5,E$40,$A42,$B$10,$B$11,$B$9,$B$17,$B$26,$B$25)</f>
        <v>115.2</v>
      </c>
      <c r="F42" s="4" cm="1">
        <f t="array" ref="F42">lifetime_cost($B$4,$B$5,F$40,$A42,$B$10,$B$11,$B$9,$B$17,$B$26,$B$25)</f>
        <v>115.2</v>
      </c>
      <c r="G42" s="4" cm="1">
        <f t="array" ref="G42">lifetime_cost($B$4,$B$5,G$40,$A42,$B$10,$B$11,$B$9,$B$17,$B$26,$B$25)</f>
        <v>166.4</v>
      </c>
      <c r="H42" s="4" cm="1">
        <f t="array" ref="H42">lifetime_cost($B$4,$B$5,H$40,$A42,$B$10,$B$11,$B$9,$B$17,$B$26,$B$25)</f>
        <v>115.2</v>
      </c>
      <c r="I42" s="4" cm="1">
        <f t="array" ref="I42">lifetime_cost($B$4,$B$5,I$40,$A42,$B$10,$B$11,$B$9,$B$17,$B$26,$B$25)</f>
        <v>140.80000000000001</v>
      </c>
      <c r="J42" s="4" cm="1">
        <f t="array" ref="J42">lifetime_cost($B$4,$B$5,J$40,$A42,$B$10,$B$11,$B$9,$B$17,$B$26,$B$25)</f>
        <v>179.2</v>
      </c>
      <c r="K42" s="4" cm="1">
        <f t="array" ref="K42">lifetime_cost($B$4,$B$5,K$40,$A42,$B$10,$B$11,$B$9,$B$17,$B$26,$B$25)</f>
        <v>217.6</v>
      </c>
      <c r="L42" s="4" cm="1">
        <f t="array" ref="L42">lifetime_cost($B$4,$B$5,L$40,$A42,$B$10,$B$11,$B$9,$B$17,$B$26,$B$25)</f>
        <v>256</v>
      </c>
      <c r="M42" s="4" cm="1">
        <f t="array" ref="M42">lifetime_cost($B$4,$B$5,M$40,$A42,$B$10,$B$11,$B$9,$B$17,$B$26,$B$25)</f>
        <v>320</v>
      </c>
      <c r="N42" s="4" cm="1">
        <f t="array" ref="N42">lifetime_cost($B$4,$B$5,N$40,$A42,$B$10,$B$11,$B$9,$B$17,$B$26,$B$25)</f>
        <v>371.2</v>
      </c>
    </row>
    <row r="43" spans="1:14" x14ac:dyDescent="0.25">
      <c r="A43" s="2">
        <v>3</v>
      </c>
      <c r="B43" s="4" cm="1">
        <f t="array" ref="B43">lifetime_cost($B$4,$B$5,B$40,$A43,$B$10,$B$11,$B$9,$B$17,$B$26,$B$25)</f>
        <v>38.4</v>
      </c>
      <c r="C43" s="4" cm="1">
        <f t="array" ref="C43">lifetime_cost($B$4,$B$5,C$40,$A43,$B$10,$B$11,$B$9,$B$17,$B$26,$B$25)</f>
        <v>51.2</v>
      </c>
      <c r="D43" s="4" cm="1">
        <f t="array" ref="D43">lifetime_cost($B$4,$B$5,D$40,$A43,$B$10,$B$11,$B$9,$B$17,$B$26,$B$25)</f>
        <v>89.6</v>
      </c>
      <c r="E43" s="4" cm="1">
        <f t="array" ref="E43">lifetime_cost($B$4,$B$5,E$40,$A43,$B$10,$B$11,$B$9,$B$17,$B$26,$B$25)</f>
        <v>115.2</v>
      </c>
      <c r="F43" s="4" cm="1">
        <f t="array" ref="F43">lifetime_cost($B$4,$B$5,F$40,$A43,$B$10,$B$11,$B$9,$B$17,$B$26,$B$25)</f>
        <v>89.6</v>
      </c>
      <c r="G43" s="4" cm="1">
        <f t="array" ref="G43">lifetime_cost($B$4,$B$5,G$40,$A43,$B$10,$B$11,$B$9,$B$17,$B$26,$B$25)</f>
        <v>115.2</v>
      </c>
      <c r="H43" s="4" cm="1">
        <f t="array" ref="H43">lifetime_cost($B$4,$B$5,H$40,$A43,$B$10,$B$11,$B$9,$B$17,$B$26,$B$25)</f>
        <v>166.4</v>
      </c>
      <c r="I43" s="4" cm="1">
        <f t="array" ref="I43">lifetime_cost($B$4,$B$5,I$40,$A43,$B$10,$B$11,$B$9,$B$17,$B$26,$B$25)</f>
        <v>217.6</v>
      </c>
      <c r="J43" s="4" cm="1">
        <f t="array" ref="J43">lifetime_cost($B$4,$B$5,J$40,$A43,$B$10,$B$11,$B$9,$B$17,$B$26,$B$25)</f>
        <v>256</v>
      </c>
      <c r="K43" s="4" cm="1">
        <f t="array" ref="K43">lifetime_cost($B$4,$B$5,K$40,$A43,$B$10,$B$11,$B$9,$B$17,$B$26,$B$25)</f>
        <v>0</v>
      </c>
      <c r="L43" s="4" cm="1">
        <f t="array" ref="L43">lifetime_cost($B$4,$B$5,L$40,$A43,$B$10,$B$11,$B$9,$B$17,$B$26,$B$25)</f>
        <v>0</v>
      </c>
      <c r="M43" s="4" cm="1">
        <f t="array" ref="M43">lifetime_cost($B$4,$B$5,M$40,$A43,$B$10,$B$11,$B$9,$B$17,$B$26,$B$25)</f>
        <v>0</v>
      </c>
      <c r="N43" s="4" cm="1">
        <f t="array" ref="N43">lifetime_cost($B$4,$B$5,N$40,$A43,$B$10,$B$11,$B$9,$B$17,$B$26,$B$25)</f>
        <v>0</v>
      </c>
    </row>
    <row r="44" spans="1:14" x14ac:dyDescent="0.25">
      <c r="A44" s="2">
        <v>4</v>
      </c>
      <c r="B44" s="4" cm="1">
        <f t="array" ref="B44">lifetime_cost($B$4,$B$5,B$40,$A44,$B$10,$B$11,$B$9,$B$17,$B$26,$B$25)</f>
        <v>38.4</v>
      </c>
      <c r="C44" s="4" cm="1">
        <f t="array" ref="C44">lifetime_cost($B$4,$B$5,C$40,$A44,$B$10,$B$11,$B$9,$B$17,$B$26,$B$25)</f>
        <v>64</v>
      </c>
      <c r="D44" s="4" cm="1">
        <f t="array" ref="D44">lifetime_cost($B$4,$B$5,D$40,$A44,$B$10,$B$11,$B$9,$B$17,$B$26,$B$25)</f>
        <v>89.6</v>
      </c>
      <c r="E44" s="4" cm="1">
        <f t="array" ref="E44">lifetime_cost($B$4,$B$5,E$40,$A44,$B$10,$B$11,$B$9,$B$17,$B$26,$B$25)</f>
        <v>76.8</v>
      </c>
      <c r="F44" s="4" cm="1">
        <f t="array" ref="F44">lifetime_cost($B$4,$B$5,F$40,$A44,$B$10,$B$11,$B$9,$B$17,$B$26,$B$25)</f>
        <v>115.2</v>
      </c>
      <c r="G44" s="4" cm="1">
        <f t="array" ref="G44">lifetime_cost($B$4,$B$5,G$40,$A44,$B$10,$B$11,$B$9,$B$17,$B$26,$B$25)</f>
        <v>166.4</v>
      </c>
      <c r="H44" s="4" cm="1">
        <f t="array" ref="H44">lifetime_cost($B$4,$B$5,H$40,$A44,$B$10,$B$11,$B$9,$B$17,$B$26,$B$25)</f>
        <v>0</v>
      </c>
      <c r="I44" s="4" cm="1">
        <f t="array" ref="I44">lifetime_cost($B$4,$B$5,I$40,$A44,$B$10,$B$11,$B$9,$B$17,$B$26,$B$25)</f>
        <v>0</v>
      </c>
      <c r="J44" s="4" cm="1">
        <f t="array" ref="J44">lifetime_cost($B$4,$B$5,J$40,$A44,$B$10,$B$11,$B$9,$B$17,$B$26,$B$25)</f>
        <v>0</v>
      </c>
      <c r="K44" s="4" cm="1">
        <f t="array" ref="K44">lifetime_cost($B$4,$B$5,K$40,$A44,$B$10,$B$11,$B$9,$B$17,$B$26,$B$25)</f>
        <v>0</v>
      </c>
      <c r="L44" s="4" cm="1">
        <f t="array" ref="L44">lifetime_cost($B$4,$B$5,L$40,$A44,$B$10,$B$11,$B$9,$B$17,$B$26,$B$25)</f>
        <v>0</v>
      </c>
      <c r="M44" s="4" cm="1">
        <f t="array" ref="M44">lifetime_cost($B$4,$B$5,M$40,$A44,$B$10,$B$11,$B$9,$B$17,$B$26,$B$25)</f>
        <v>0</v>
      </c>
      <c r="N44" s="4" cm="1">
        <f t="array" ref="N44">lifetime_cost($B$4,$B$5,N$40,$A44,$B$10,$B$11,$B$9,$B$17,$B$26,$B$25)</f>
        <v>0</v>
      </c>
    </row>
    <row r="45" spans="1:14" x14ac:dyDescent="0.25">
      <c r="A45" s="2">
        <v>5</v>
      </c>
      <c r="B45" s="4" cm="1">
        <f t="array" ref="B45">lifetime_cost($B$4,$B$5,B$40,$A45,$B$10,$B$11,$B$9,$B$17,$B$26,$B$25)</f>
        <v>38.4</v>
      </c>
      <c r="C45" s="4" cm="1">
        <f t="array" ref="C45">lifetime_cost($B$4,$B$5,C$40,$A45,$B$10,$B$11,$B$9,$B$17,$B$26,$B$25)</f>
        <v>51.2</v>
      </c>
      <c r="D45" s="4" cm="1">
        <f t="array" ref="D45">lifetime_cost($B$4,$B$5,D$40,$A45,$B$10,$B$11,$B$9,$B$17,$B$26,$B$25)</f>
        <v>51.2</v>
      </c>
      <c r="E45" s="4" cm="1">
        <f t="array" ref="E45">lifetime_cost($B$4,$B$5,E$40,$A45,$B$10,$B$11,$B$9,$B$17,$B$26,$B$25)</f>
        <v>89.6</v>
      </c>
      <c r="F45" s="4" cm="1">
        <f t="array" ref="F45">lifetime_cost($B$4,$B$5,F$40,$A45,$B$10,$B$11,$B$9,$B$17,$B$26,$B$25)</f>
        <v>140.80000000000001</v>
      </c>
      <c r="G45" s="4" cm="1">
        <f t="array" ref="G45">lifetime_cost($B$4,$B$5,G$40,$A45,$B$10,$B$11,$B$9,$B$17,$B$26,$B$25)</f>
        <v>0</v>
      </c>
      <c r="H45" s="4" cm="1">
        <f t="array" ref="H45">lifetime_cost($B$4,$B$5,H$40,$A45,$B$10,$B$11,$B$9,$B$17,$B$26,$B$25)</f>
        <v>0</v>
      </c>
      <c r="I45" s="4" cm="1">
        <f t="array" ref="I45">lifetime_cost($B$4,$B$5,I$40,$A45,$B$10,$B$11,$B$9,$B$17,$B$26,$B$25)</f>
        <v>0</v>
      </c>
      <c r="J45" s="4" cm="1">
        <f t="array" ref="J45">lifetime_cost($B$4,$B$5,J$40,$A45,$B$10,$B$11,$B$9,$B$17,$B$26,$B$25)</f>
        <v>0</v>
      </c>
      <c r="K45" s="4" cm="1">
        <f t="array" ref="K45">lifetime_cost($B$4,$B$5,K$40,$A45,$B$10,$B$11,$B$9,$B$17,$B$26,$B$25)</f>
        <v>0</v>
      </c>
      <c r="L45" s="4" cm="1">
        <f t="array" ref="L45">lifetime_cost($B$4,$B$5,L$40,$A45,$B$10,$B$11,$B$9,$B$17,$B$26,$B$25)</f>
        <v>0</v>
      </c>
      <c r="M45" s="4" cm="1">
        <f t="array" ref="M45">lifetime_cost($B$4,$B$5,M$40,$A45,$B$10,$B$11,$B$9,$B$17,$B$26,$B$25)</f>
        <v>0</v>
      </c>
      <c r="N45" s="4" cm="1">
        <f t="array" ref="N45">lifetime_cost($B$4,$B$5,N$40,$A45,$B$10,$B$11,$B$9,$B$17,$B$26,$B$25)</f>
        <v>0</v>
      </c>
    </row>
    <row r="46" spans="1:14" x14ac:dyDescent="0.25">
      <c r="A46" s="2">
        <v>6</v>
      </c>
      <c r="B46" s="4" cm="1">
        <f t="array" ref="B46">lifetime_cost($B$4,$B$5,B$40,$A46,$B$10,$B$11,$B$9,$B$17,$B$26,$B$25)</f>
        <v>25.6</v>
      </c>
      <c r="C46" s="4" cm="1">
        <f t="array" ref="C46">lifetime_cost($B$4,$B$5,C$40,$A46,$B$10,$B$11,$B$9,$B$17,$B$26,$B$25)</f>
        <v>64</v>
      </c>
      <c r="D46" s="4" cm="1">
        <f t="array" ref="D46">lifetime_cost($B$4,$B$5,D$40,$A46,$B$10,$B$11,$B$9,$B$17,$B$26,$B$25)</f>
        <v>64</v>
      </c>
      <c r="E46" s="4" cm="1">
        <f t="array" ref="E46">lifetime_cost($B$4,$B$5,E$40,$A46,$B$10,$B$11,$B$9,$B$17,$B$26,$B$25)</f>
        <v>115.2</v>
      </c>
      <c r="F46" s="4" cm="1">
        <f t="array" ref="F46">lifetime_cost($B$4,$B$5,F$40,$A46,$B$10,$B$11,$B$9,$B$17,$B$26,$B$25)</f>
        <v>0</v>
      </c>
      <c r="G46" s="4" cm="1">
        <f t="array" ref="G46">lifetime_cost($B$4,$B$5,G$40,$A46,$B$10,$B$11,$B$9,$B$17,$B$26,$B$25)</f>
        <v>0</v>
      </c>
      <c r="H46" s="4" cm="1">
        <f t="array" ref="H46">lifetime_cost($B$4,$B$5,H$40,$A46,$B$10,$B$11,$B$9,$B$17,$B$26,$B$25)</f>
        <v>0</v>
      </c>
      <c r="I46" s="4" cm="1">
        <f t="array" ref="I46">lifetime_cost($B$4,$B$5,I$40,$A46,$B$10,$B$11,$B$9,$B$17,$B$26,$B$25)</f>
        <v>0</v>
      </c>
      <c r="J46" s="4" cm="1">
        <f t="array" ref="J46">lifetime_cost($B$4,$B$5,J$40,$A46,$B$10,$B$11,$B$9,$B$17,$B$26,$B$25)</f>
        <v>0</v>
      </c>
      <c r="K46" s="4" cm="1">
        <f t="array" ref="K46">lifetime_cost($B$4,$B$5,K$40,$A46,$B$10,$B$11,$B$9,$B$17,$B$26,$B$25)</f>
        <v>0</v>
      </c>
      <c r="L46" s="4" cm="1">
        <f t="array" ref="L46">lifetime_cost($B$4,$B$5,L$40,$A46,$B$10,$B$11,$B$9,$B$17,$B$26,$B$25)</f>
        <v>0</v>
      </c>
      <c r="M46" s="4" cm="1">
        <f t="array" ref="M46">lifetime_cost($B$4,$B$5,M$40,$A46,$B$10,$B$11,$B$9,$B$17,$B$26,$B$25)</f>
        <v>0</v>
      </c>
      <c r="N46" s="4" cm="1">
        <f t="array" ref="N46">lifetime_cost($B$4,$B$5,N$40,$A46,$B$10,$B$11,$B$9,$B$17,$B$26,$B$25)</f>
        <v>0</v>
      </c>
    </row>
    <row r="47" spans="1:14" x14ac:dyDescent="0.25">
      <c r="A47" s="2">
        <v>7</v>
      </c>
      <c r="B47" s="4" cm="1">
        <f t="array" ref="B47">lifetime_cost($B$4,$B$5,B$40,$A47,$B$10,$B$11,$B$9,$B$17,$B$26,$B$25)</f>
        <v>25.6</v>
      </c>
      <c r="C47" s="4" cm="1">
        <f t="array" ref="C47">lifetime_cost($B$4,$B$5,C$40,$A47,$B$10,$B$11,$B$9,$B$17,$B$26,$B$25)</f>
        <v>38.4</v>
      </c>
      <c r="D47" s="4" cm="1">
        <f t="array" ref="D47">lifetime_cost($B$4,$B$5,D$40,$A47,$B$10,$B$11,$B$9,$B$17,$B$26,$B$25)</f>
        <v>76.8</v>
      </c>
      <c r="E47" s="4" cm="1">
        <f t="array" ref="E47">lifetime_cost($B$4,$B$5,E$40,$A47,$B$10,$B$11,$B$9,$B$17,$B$26,$B$25)</f>
        <v>0</v>
      </c>
      <c r="F47" s="4" cm="1">
        <f t="array" ref="F47">lifetime_cost($B$4,$B$5,F$40,$A47,$B$10,$B$11,$B$9,$B$17,$B$26,$B$25)</f>
        <v>0</v>
      </c>
      <c r="G47" s="4" cm="1">
        <f t="array" ref="G47">lifetime_cost($B$4,$B$5,G$40,$A47,$B$10,$B$11,$B$9,$B$17,$B$26,$B$25)</f>
        <v>0</v>
      </c>
      <c r="H47" s="4" cm="1">
        <f t="array" ref="H47">lifetime_cost($B$4,$B$5,H$40,$A47,$B$10,$B$11,$B$9,$B$17,$B$26,$B$25)</f>
        <v>0</v>
      </c>
      <c r="I47" s="4" cm="1">
        <f t="array" ref="I47">lifetime_cost($B$4,$B$5,I$40,$A47,$B$10,$B$11,$B$9,$B$17,$B$26,$B$25)</f>
        <v>0</v>
      </c>
      <c r="J47" s="4" cm="1">
        <f t="array" ref="J47">lifetime_cost($B$4,$B$5,J$40,$A47,$B$10,$B$11,$B$9,$B$17,$B$26,$B$25)</f>
        <v>0</v>
      </c>
      <c r="K47" s="4" cm="1">
        <f t="array" ref="K47">lifetime_cost($B$4,$B$5,K$40,$A47,$B$10,$B$11,$B$9,$B$17,$B$26,$B$25)</f>
        <v>0</v>
      </c>
      <c r="L47" s="4" cm="1">
        <f t="array" ref="L47">lifetime_cost($B$4,$B$5,L$40,$A47,$B$10,$B$11,$B$9,$B$17,$B$26,$B$25)</f>
        <v>0</v>
      </c>
      <c r="M47" s="4" cm="1">
        <f t="array" ref="M47">lifetime_cost($B$4,$B$5,M$40,$A47,$B$10,$B$11,$B$9,$B$17,$B$26,$B$25)</f>
        <v>0</v>
      </c>
      <c r="N47" s="4" cm="1">
        <f t="array" ref="N47">lifetime_cost($B$4,$B$5,N$40,$A47,$B$10,$B$11,$B$9,$B$17,$B$26,$B$25)</f>
        <v>0</v>
      </c>
    </row>
    <row r="48" spans="1:14" x14ac:dyDescent="0.25">
      <c r="A48" s="2">
        <v>8</v>
      </c>
      <c r="B48" s="4" cm="1">
        <f t="array" ref="B48">lifetime_cost($B$4,$B$5,B$40,$A48,$B$10,$B$11,$B$9,$B$17,$B$26,$B$25)</f>
        <v>38.4</v>
      </c>
      <c r="C48" s="4" cm="1">
        <f t="array" ref="C48">lifetime_cost($B$4,$B$5,C$40,$A48,$B$10,$B$11,$B$9,$B$17,$B$26,$B$25)</f>
        <v>38.4</v>
      </c>
      <c r="D48" s="4" cm="1">
        <f t="array" ref="D48">lifetime_cost($B$4,$B$5,D$40,$A48,$B$10,$B$11,$B$9,$B$17,$B$26,$B$25)</f>
        <v>89.6</v>
      </c>
      <c r="E48" s="4" cm="1">
        <f t="array" ref="E48">lifetime_cost($B$4,$B$5,E$40,$A48,$B$10,$B$11,$B$9,$B$17,$B$26,$B$25)</f>
        <v>0</v>
      </c>
      <c r="F48" s="4" cm="1">
        <f t="array" ref="F48">lifetime_cost($B$4,$B$5,F$40,$A48,$B$10,$B$11,$B$9,$B$17,$B$26,$B$25)</f>
        <v>0</v>
      </c>
      <c r="G48" s="4" cm="1">
        <f t="array" ref="G48">lifetime_cost($B$4,$B$5,G$40,$A48,$B$10,$B$11,$B$9,$B$17,$B$26,$B$25)</f>
        <v>0</v>
      </c>
      <c r="H48" s="4" cm="1">
        <f t="array" ref="H48">lifetime_cost($B$4,$B$5,H$40,$A48,$B$10,$B$11,$B$9,$B$17,$B$26,$B$25)</f>
        <v>0</v>
      </c>
      <c r="I48" s="4" cm="1">
        <f t="array" ref="I48">lifetime_cost($B$4,$B$5,I$40,$A48,$B$10,$B$11,$B$9,$B$17,$B$26,$B$25)</f>
        <v>0</v>
      </c>
      <c r="J48" s="4" cm="1">
        <f t="array" ref="J48">lifetime_cost($B$4,$B$5,J$40,$A48,$B$10,$B$11,$B$9,$B$17,$B$26,$B$25)</f>
        <v>0</v>
      </c>
      <c r="K48" s="4" cm="1">
        <f t="array" ref="K48">lifetime_cost($B$4,$B$5,K$40,$A48,$B$10,$B$11,$B$9,$B$17,$B$26,$B$25)</f>
        <v>0</v>
      </c>
      <c r="L48" s="4" cm="1">
        <f t="array" ref="L48">lifetime_cost($B$4,$B$5,L$40,$A48,$B$10,$B$11,$B$9,$B$17,$B$26,$B$25)</f>
        <v>0</v>
      </c>
      <c r="M48" s="4" cm="1">
        <f t="array" ref="M48">lifetime_cost($B$4,$B$5,M$40,$A48,$B$10,$B$11,$B$9,$B$17,$B$26,$B$25)</f>
        <v>0</v>
      </c>
      <c r="N48" s="4" cm="1">
        <f t="array" ref="N48">lifetime_cost($B$4,$B$5,N$40,$A48,$B$10,$B$11,$B$9,$B$17,$B$26,$B$25)</f>
        <v>0</v>
      </c>
    </row>
    <row r="49" spans="1:14" x14ac:dyDescent="0.25">
      <c r="A49" s="2">
        <v>9</v>
      </c>
      <c r="B49" s="4" cm="1">
        <f t="array" ref="B49">lifetime_cost($B$4,$B$5,B$40,$A49,$B$10,$B$11,$B$9,$B$17,$B$26,$B$25)</f>
        <v>38.4</v>
      </c>
      <c r="C49" s="4" cm="1">
        <f t="array" ref="C49">lifetime_cost($B$4,$B$5,C$40,$A49,$B$10,$B$11,$B$9,$B$17,$B$26,$B$25)</f>
        <v>38.4</v>
      </c>
      <c r="D49" s="4" cm="1">
        <f t="array" ref="D49">lifetime_cost($B$4,$B$5,D$40,$A49,$B$10,$B$11,$B$9,$B$17,$B$26,$B$25)</f>
        <v>89.6</v>
      </c>
      <c r="E49" s="4" cm="1">
        <f t="array" ref="E49">lifetime_cost($B$4,$B$5,E$40,$A49,$B$10,$B$11,$B$9,$B$17,$B$26,$B$25)</f>
        <v>0</v>
      </c>
      <c r="F49" s="4" cm="1">
        <f t="array" ref="F49">lifetime_cost($B$4,$B$5,F$40,$A49,$B$10,$B$11,$B$9,$B$17,$B$26,$B$25)</f>
        <v>0</v>
      </c>
      <c r="G49" s="4" cm="1">
        <f t="array" ref="G49">lifetime_cost($B$4,$B$5,G$40,$A49,$B$10,$B$11,$B$9,$B$17,$B$26,$B$25)</f>
        <v>0</v>
      </c>
      <c r="H49" s="4" cm="1">
        <f t="array" ref="H49">lifetime_cost($B$4,$B$5,H$40,$A49,$B$10,$B$11,$B$9,$B$17,$B$26,$B$25)</f>
        <v>0</v>
      </c>
      <c r="I49" s="4" cm="1">
        <f t="array" ref="I49">lifetime_cost($B$4,$B$5,I$40,$A49,$B$10,$B$11,$B$9,$B$17,$B$26,$B$25)</f>
        <v>0</v>
      </c>
      <c r="J49" s="4" cm="1">
        <f t="array" ref="J49">lifetime_cost($B$4,$B$5,J$40,$A49,$B$10,$B$11,$B$9,$B$17,$B$26,$B$25)</f>
        <v>0</v>
      </c>
      <c r="K49" s="4" cm="1">
        <f t="array" ref="K49">lifetime_cost($B$4,$B$5,K$40,$A49,$B$10,$B$11,$B$9,$B$17,$B$26,$B$25)</f>
        <v>0</v>
      </c>
      <c r="L49" s="4" cm="1">
        <f t="array" ref="L49">lifetime_cost($B$4,$B$5,L$40,$A49,$B$10,$B$11,$B$9,$B$17,$B$26,$B$25)</f>
        <v>0</v>
      </c>
      <c r="M49" s="4" cm="1">
        <f t="array" ref="M49">lifetime_cost($B$4,$B$5,M$40,$A49,$B$10,$B$11,$B$9,$B$17,$B$26,$B$25)</f>
        <v>0</v>
      </c>
      <c r="N49" s="4" cm="1">
        <f t="array" ref="N49">lifetime_cost($B$4,$B$5,N$40,$A49,$B$10,$B$11,$B$9,$B$17,$B$26,$B$25)</f>
        <v>0</v>
      </c>
    </row>
    <row r="50" spans="1:14" x14ac:dyDescent="0.25">
      <c r="A50" s="2">
        <v>10</v>
      </c>
      <c r="B50" s="4" cm="1">
        <f t="array" ref="B50">lifetime_cost($B$4,$B$5,B$40,$A50,$B$10,$B$11,$B$9,$B$17,$B$26,$B$25)</f>
        <v>25.6</v>
      </c>
      <c r="C50" s="4" cm="1">
        <f t="array" ref="C50">lifetime_cost($B$4,$B$5,C$40,$A50,$B$10,$B$11,$B$9,$B$17,$B$26,$B$25)</f>
        <v>51.2</v>
      </c>
      <c r="D50" s="4" cm="1">
        <f t="array" ref="D50">lifetime_cost($B$4,$B$5,D$40,$A50,$B$10,$B$11,$B$9,$B$17,$B$26,$B$25)</f>
        <v>0</v>
      </c>
      <c r="E50" s="4" cm="1">
        <f t="array" ref="E50">lifetime_cost($B$4,$B$5,E$40,$A50,$B$10,$B$11,$B$9,$B$17,$B$26,$B$25)</f>
        <v>0</v>
      </c>
      <c r="F50" s="4" cm="1">
        <f t="array" ref="F50">lifetime_cost($B$4,$B$5,F$40,$A50,$B$10,$B$11,$B$9,$B$17,$B$26,$B$25)</f>
        <v>0</v>
      </c>
      <c r="G50" s="4" cm="1">
        <f t="array" ref="G50">lifetime_cost($B$4,$B$5,G$40,$A50,$B$10,$B$11,$B$9,$B$17,$B$26,$B$25)</f>
        <v>0</v>
      </c>
      <c r="H50" s="4" cm="1">
        <f t="array" ref="H50">lifetime_cost($B$4,$B$5,H$40,$A50,$B$10,$B$11,$B$9,$B$17,$B$26,$B$25)</f>
        <v>0</v>
      </c>
      <c r="I50" s="4" cm="1">
        <f t="array" ref="I50">lifetime_cost($B$4,$B$5,I$40,$A50,$B$10,$B$11,$B$9,$B$17,$B$26,$B$25)</f>
        <v>0</v>
      </c>
      <c r="J50" s="4" cm="1">
        <f t="array" ref="J50">lifetime_cost($B$4,$B$5,J$40,$A50,$B$10,$B$11,$B$9,$B$17,$B$26,$B$25)</f>
        <v>0</v>
      </c>
      <c r="K50" s="4" cm="1">
        <f t="array" ref="K50">lifetime_cost($B$4,$B$5,K$40,$A50,$B$10,$B$11,$B$9,$B$17,$B$26,$B$25)</f>
        <v>0</v>
      </c>
      <c r="L50" s="4" cm="1">
        <f t="array" ref="L50">lifetime_cost($B$4,$B$5,L$40,$A50,$B$10,$B$11,$B$9,$B$17,$B$26,$B$25)</f>
        <v>0</v>
      </c>
      <c r="M50" s="4" cm="1">
        <f t="array" ref="M50">lifetime_cost($B$4,$B$5,M$40,$A50,$B$10,$B$11,$B$9,$B$17,$B$26,$B$25)</f>
        <v>0</v>
      </c>
      <c r="N50" s="4" cm="1">
        <f t="array" ref="N50">lifetime_cost($B$4,$B$5,N$40,$A50,$B$10,$B$11,$B$9,$B$17,$B$26,$B$25)</f>
        <v>0</v>
      </c>
    </row>
    <row r="51" spans="1:14" x14ac:dyDescent="0.25">
      <c r="A51" s="2">
        <v>11</v>
      </c>
      <c r="B51" s="4" cm="1">
        <f t="array" ref="B51">lifetime_cost($B$4,$B$5,B$40,$A51,$B$10,$B$11,$B$9,$B$17,$B$26,$B$25)</f>
        <v>25.6</v>
      </c>
      <c r="C51" s="4" cm="1">
        <f t="array" ref="C51">lifetime_cost($B$4,$B$5,C$40,$A51,$B$10,$B$11,$B$9,$B$17,$B$26,$B$25)</f>
        <v>51.2</v>
      </c>
      <c r="D51" s="4" cm="1">
        <f t="array" ref="D51">lifetime_cost($B$4,$B$5,D$40,$A51,$B$10,$B$11,$B$9,$B$17,$B$26,$B$25)</f>
        <v>0</v>
      </c>
      <c r="E51" s="4" cm="1">
        <f t="array" ref="E51">lifetime_cost($B$4,$B$5,E$40,$A51,$B$10,$B$11,$B$9,$B$17,$B$26,$B$25)</f>
        <v>0</v>
      </c>
      <c r="F51" s="4" cm="1">
        <f t="array" ref="F51">lifetime_cost($B$4,$B$5,F$40,$A51,$B$10,$B$11,$B$9,$B$17,$B$26,$B$25)</f>
        <v>0</v>
      </c>
      <c r="G51" s="4" cm="1">
        <f t="array" ref="G51">lifetime_cost($B$4,$B$5,G$40,$A51,$B$10,$B$11,$B$9,$B$17,$B$26,$B$25)</f>
        <v>0</v>
      </c>
      <c r="H51" s="4" cm="1">
        <f t="array" ref="H51">lifetime_cost($B$4,$B$5,H$40,$A51,$B$10,$B$11,$B$9,$B$17,$B$26,$B$25)</f>
        <v>0</v>
      </c>
      <c r="I51" s="4" cm="1">
        <f t="array" ref="I51">lifetime_cost($B$4,$B$5,I$40,$A51,$B$10,$B$11,$B$9,$B$17,$B$26,$B$25)</f>
        <v>0</v>
      </c>
      <c r="J51" s="4" cm="1">
        <f t="array" ref="J51">lifetime_cost($B$4,$B$5,J$40,$A51,$B$10,$B$11,$B$9,$B$17,$B$26,$B$25)</f>
        <v>0</v>
      </c>
      <c r="K51" s="4" cm="1">
        <f t="array" ref="K51">lifetime_cost($B$4,$B$5,K$40,$A51,$B$10,$B$11,$B$9,$B$17,$B$26,$B$25)</f>
        <v>0</v>
      </c>
      <c r="L51" s="4" cm="1">
        <f t="array" ref="L51">lifetime_cost($B$4,$B$5,L$40,$A51,$B$10,$B$11,$B$9,$B$17,$B$26,$B$25)</f>
        <v>0</v>
      </c>
      <c r="M51" s="4" cm="1">
        <f t="array" ref="M51">lifetime_cost($B$4,$B$5,M$40,$A51,$B$10,$B$11,$B$9,$B$17,$B$26,$B$25)</f>
        <v>0</v>
      </c>
      <c r="N51" s="4" cm="1">
        <f t="array" ref="N51">lifetime_cost($B$4,$B$5,N$40,$A51,$B$10,$B$11,$B$9,$B$17,$B$26,$B$25)</f>
        <v>0</v>
      </c>
    </row>
    <row r="52" spans="1:14" x14ac:dyDescent="0.25">
      <c r="A52" s="2">
        <v>12</v>
      </c>
      <c r="B52" s="4" cm="1">
        <f t="array" ref="B52">lifetime_cost($B$4,$B$5,B$40,$A52,$B$10,$B$11,$B$9,$B$17,$B$26,$B$25)</f>
        <v>38.4</v>
      </c>
      <c r="C52" s="4" cm="1">
        <f t="array" ref="C52">lifetime_cost($B$4,$B$5,C$40,$A52,$B$10,$B$11,$B$9,$B$17,$B$26,$B$25)</f>
        <v>64</v>
      </c>
      <c r="D52" s="4" cm="1">
        <f t="array" ref="D52">lifetime_cost($B$4,$B$5,D$40,$A52,$B$10,$B$11,$B$9,$B$17,$B$26,$B$25)</f>
        <v>0</v>
      </c>
      <c r="E52" s="4" cm="1">
        <f t="array" ref="E52">lifetime_cost($B$4,$B$5,E$40,$A52,$B$10,$B$11,$B$9,$B$17,$B$26,$B$25)</f>
        <v>0</v>
      </c>
      <c r="F52" s="4" cm="1">
        <f t="array" ref="F52">lifetime_cost($B$4,$B$5,F$40,$A52,$B$10,$B$11,$B$9,$B$17,$B$26,$B$25)</f>
        <v>0</v>
      </c>
      <c r="G52" s="4" cm="1">
        <f t="array" ref="G52">lifetime_cost($B$4,$B$5,G$40,$A52,$B$10,$B$11,$B$9,$B$17,$B$26,$B$25)</f>
        <v>0</v>
      </c>
      <c r="H52" s="4" cm="1">
        <f t="array" ref="H52">lifetime_cost($B$4,$B$5,H$40,$A52,$B$10,$B$11,$B$9,$B$17,$B$26,$B$25)</f>
        <v>0</v>
      </c>
      <c r="I52" s="4" cm="1">
        <f t="array" ref="I52">lifetime_cost($B$4,$B$5,I$40,$A52,$B$10,$B$11,$B$9,$B$17,$B$26,$B$25)</f>
        <v>0</v>
      </c>
      <c r="J52" s="4" cm="1">
        <f t="array" ref="J52">lifetime_cost($B$4,$B$5,J$40,$A52,$B$10,$B$11,$B$9,$B$17,$B$26,$B$25)</f>
        <v>0</v>
      </c>
      <c r="K52" s="4" cm="1">
        <f t="array" ref="K52">lifetime_cost($B$4,$B$5,K$40,$A52,$B$10,$B$11,$B$9,$B$17,$B$26,$B$25)</f>
        <v>0</v>
      </c>
      <c r="L52" s="4" cm="1">
        <f t="array" ref="L52">lifetime_cost($B$4,$B$5,L$40,$A52,$B$10,$B$11,$B$9,$B$17,$B$26,$B$25)</f>
        <v>0</v>
      </c>
      <c r="M52" s="4" cm="1">
        <f t="array" ref="M52">lifetime_cost($B$4,$B$5,M$40,$A52,$B$10,$B$11,$B$9,$B$17,$B$26,$B$25)</f>
        <v>0</v>
      </c>
      <c r="N52" s="4" cm="1">
        <f t="array" ref="N52">lifetime_cost($B$4,$B$5,N$40,$A52,$B$10,$B$11,$B$9,$B$17,$B$26,$B$25)</f>
        <v>0</v>
      </c>
    </row>
    <row r="55" spans="1:14" x14ac:dyDescent="0.25">
      <c r="A55" s="2" t="s">
        <v>45</v>
      </c>
    </row>
    <row r="56" spans="1:14" x14ac:dyDescent="0.25">
      <c r="B56" s="2" t="s">
        <v>80</v>
      </c>
    </row>
    <row r="57" spans="1:14" x14ac:dyDescent="0.25">
      <c r="A57" s="2" t="s">
        <v>27</v>
      </c>
      <c r="B57" s="2">
        <v>0.5</v>
      </c>
      <c r="C57" s="2">
        <f>B57+0.5</f>
        <v>1</v>
      </c>
      <c r="D57" s="2">
        <f t="shared" ref="D57:I57" si="1">C57+0.5</f>
        <v>1.5</v>
      </c>
      <c r="E57" s="2">
        <f t="shared" si="1"/>
        <v>2</v>
      </c>
      <c r="F57" s="2">
        <f t="shared" si="1"/>
        <v>2.5</v>
      </c>
      <c r="G57" s="2">
        <f t="shared" si="1"/>
        <v>3</v>
      </c>
      <c r="H57" s="2">
        <f t="shared" si="1"/>
        <v>3.5</v>
      </c>
      <c r="I57" s="2">
        <f t="shared" si="1"/>
        <v>4</v>
      </c>
      <c r="J57" s="2">
        <f>I57+0.5</f>
        <v>4.5</v>
      </c>
      <c r="K57" s="2">
        <f t="shared" ref="K57:N57" si="2">J57+0.5</f>
        <v>5</v>
      </c>
      <c r="L57" s="2">
        <f t="shared" si="2"/>
        <v>5.5</v>
      </c>
      <c r="M57" s="2">
        <f t="shared" si="2"/>
        <v>6</v>
      </c>
      <c r="N57" s="2">
        <f t="shared" si="2"/>
        <v>6.5</v>
      </c>
    </row>
    <row r="58" spans="1:14" x14ac:dyDescent="0.25">
      <c r="A58" s="2">
        <v>1</v>
      </c>
      <c r="B58" s="4" cm="1">
        <f t="array" ref="B58">lifetime_cost($C$4,$C$5,B$57,$A58,$C$10,$C$11,$C$9,$C$17,$C$26,$C$25)</f>
        <v>79.599999999999994</v>
      </c>
      <c r="C58" s="4" cm="1">
        <f t="array" ref="C58">lifetime_cost($C$4,$C$5,C$57,$A58,$C$10,$C$11,$C$9,$C$17,$C$26,$C$25)</f>
        <v>79.599999999999994</v>
      </c>
      <c r="D58" s="4" cm="1">
        <f t="array" ref="D58">lifetime_cost($C$4,$C$5,D$57,$A58,$C$10,$C$11,$C$9,$C$17,$C$26,$C$25)</f>
        <v>79.599999999999994</v>
      </c>
      <c r="E58" s="4" cm="1">
        <f t="array" ref="E58">lifetime_cost($C$4,$C$5,E$57,$A58,$C$10,$C$11,$C$9,$C$17,$C$26,$C$25)</f>
        <v>79.599999999999994</v>
      </c>
      <c r="F58" s="4" cm="1">
        <f t="array" ref="F58">lifetime_cost($C$4,$C$5,F$57,$A58,$C$10,$C$11,$C$9,$C$17,$C$26,$C$25)</f>
        <v>79.599999999999994</v>
      </c>
      <c r="G58" s="4" cm="1">
        <f t="array" ref="G58">lifetime_cost($C$4,$C$5,G$57,$A58,$C$10,$C$11,$C$9,$C$17,$C$26,$C$25)</f>
        <v>79.599999999999994</v>
      </c>
      <c r="H58" s="4" cm="1">
        <f t="array" ref="H58">lifetime_cost($C$4,$C$5,H$57,$A58,$C$10,$C$11,$C$9,$C$17,$C$26,$C$25)</f>
        <v>79.599999999999994</v>
      </c>
      <c r="I58" s="4" cm="1">
        <f t="array" ref="I58">lifetime_cost($C$4,$C$5,I$57,$A58,$C$10,$C$11,$C$9,$C$17,$C$26,$C$25)</f>
        <v>79.599999999999994</v>
      </c>
      <c r="J58" s="4" cm="1">
        <f t="array" ref="J58">lifetime_cost($C$4,$C$5,J$57,$A58,$C$10,$C$11,$C$9,$C$17,$C$26,$C$25)</f>
        <v>79.599999999999994</v>
      </c>
      <c r="K58" s="4" cm="1">
        <f t="array" ref="K58">lifetime_cost($C$4,$C$5,K$57,$A58,$C$10,$C$11,$C$9,$C$17,$C$26,$C$25)</f>
        <v>79.599999999999994</v>
      </c>
      <c r="L58" s="4" cm="1">
        <f t="array" ref="L58">lifetime_cost($C$4,$C$5,L$57,$A58,$C$10,$C$11,$C$9,$C$17,$C$26,$C$25)</f>
        <v>79.599999999999994</v>
      </c>
      <c r="M58" s="4" cm="1">
        <f t="array" ref="M58">lifetime_cost($C$4,$C$5,M$57,$A58,$C$10,$C$11,$C$9,$C$17,$C$26,$C$25)</f>
        <v>79.599999999999994</v>
      </c>
      <c r="N58" s="4" cm="1">
        <f t="array" ref="N58">lifetime_cost($C$4,$C$5,N$57,$A58,$C$10,$C$11,$C$9,$C$17,$C$26,$C$25)</f>
        <v>0</v>
      </c>
    </row>
    <row r="59" spans="1:14" x14ac:dyDescent="0.25">
      <c r="A59" s="2">
        <v>2</v>
      </c>
      <c r="B59" s="4" cm="1">
        <f t="array" ref="B59">lifetime_cost($C$4,$C$5,B$57,$A59,$C$10,$C$11,$C$9,$C$17,$C$26,$C$25)</f>
        <v>79.599999999999994</v>
      </c>
      <c r="C59" s="4" cm="1">
        <f t="array" ref="C59">lifetime_cost($C$4,$C$5,C$57,$A59,$C$10,$C$11,$C$9,$C$17,$C$26,$C$25)</f>
        <v>79.599999999999994</v>
      </c>
      <c r="D59" s="4" cm="1">
        <f t="array" ref="D59">lifetime_cost($C$4,$C$5,D$57,$A59,$C$10,$C$11,$C$9,$C$17,$C$26,$C$25)</f>
        <v>79.599999999999994</v>
      </c>
      <c r="E59" s="4" cm="1">
        <f t="array" ref="E59">lifetime_cost($C$4,$C$5,E$57,$A59,$C$10,$C$11,$C$9,$C$17,$C$26,$C$25)</f>
        <v>79.599999999999994</v>
      </c>
      <c r="F59" s="4" cm="1">
        <f t="array" ref="F59">lifetime_cost($C$4,$C$5,F$57,$A59,$C$10,$C$11,$C$9,$C$17,$C$26,$C$25)</f>
        <v>79.599999999999994</v>
      </c>
      <c r="G59" s="4" cm="1">
        <f t="array" ref="G59">lifetime_cost($C$4,$C$5,G$57,$A59,$C$10,$C$11,$C$9,$C$17,$C$26,$C$25)</f>
        <v>79.599999999999994</v>
      </c>
      <c r="H59" s="4" cm="1">
        <f t="array" ref="H59">lifetime_cost($C$4,$C$5,H$57,$A59,$C$10,$C$11,$C$9,$C$17,$C$26,$C$25)</f>
        <v>0</v>
      </c>
      <c r="I59" s="4" cm="1">
        <f t="array" ref="I59">lifetime_cost($C$4,$C$5,I$57,$A59,$C$10,$C$11,$C$9,$C$17,$C$26,$C$25)</f>
        <v>0</v>
      </c>
      <c r="J59" s="4" cm="1">
        <f t="array" ref="J59">lifetime_cost($C$4,$C$5,J$57,$A59,$C$10,$C$11,$C$9,$C$17,$C$26,$C$25)</f>
        <v>0</v>
      </c>
      <c r="K59" s="4" cm="1">
        <f t="array" ref="K59">lifetime_cost($C$4,$C$5,K$57,$A59,$C$10,$C$11,$C$9,$C$17,$C$26,$C$25)</f>
        <v>0</v>
      </c>
      <c r="L59" s="4" cm="1">
        <f t="array" ref="L59">lifetime_cost($C$4,$C$5,L$57,$A59,$C$10,$C$11,$C$9,$C$17,$C$26,$C$25)</f>
        <v>0</v>
      </c>
      <c r="M59" s="4" cm="1">
        <f t="array" ref="M59">lifetime_cost($C$4,$C$5,M$57,$A59,$C$10,$C$11,$C$9,$C$17,$C$26,$C$25)</f>
        <v>0</v>
      </c>
      <c r="N59" s="4" cm="1">
        <f t="array" ref="N59">lifetime_cost($C$4,$C$5,N$57,$A59,$C$10,$C$11,$C$9,$C$17,$C$26,$C$25)</f>
        <v>0</v>
      </c>
    </row>
    <row r="60" spans="1:14" x14ac:dyDescent="0.25">
      <c r="A60" s="2">
        <v>3</v>
      </c>
      <c r="B60" s="4" cm="1">
        <f t="array" ref="B60">lifetime_cost($C$4,$C$5,B$57,$A60,$C$10,$C$11,$C$9,$C$17,$C$26,$C$25)</f>
        <v>79.599999999999994</v>
      </c>
      <c r="C60" s="4" cm="1">
        <f t="array" ref="C60">lifetime_cost($C$4,$C$5,C$57,$A60,$C$10,$C$11,$C$9,$C$17,$C$26,$C$25)</f>
        <v>79.599999999999994</v>
      </c>
      <c r="D60" s="4" cm="1">
        <f t="array" ref="D60">lifetime_cost($C$4,$C$5,D$57,$A60,$C$10,$C$11,$C$9,$C$17,$C$26,$C$25)</f>
        <v>79.599999999999994</v>
      </c>
      <c r="E60" s="4" cm="1">
        <f t="array" ref="E60">lifetime_cost($C$4,$C$5,E$57,$A60,$C$10,$C$11,$C$9,$C$17,$C$26,$C$25)</f>
        <v>79.599999999999994</v>
      </c>
      <c r="F60" s="4" cm="1">
        <f t="array" ref="F60">lifetime_cost($C$4,$C$5,F$57,$A60,$C$10,$C$11,$C$9,$C$17,$C$26,$C$25)</f>
        <v>0</v>
      </c>
      <c r="G60" s="4" cm="1">
        <f t="array" ref="G60">lifetime_cost($C$4,$C$5,G$57,$A60,$C$10,$C$11,$C$9,$C$17,$C$26,$C$25)</f>
        <v>0</v>
      </c>
      <c r="H60" s="4" cm="1">
        <f t="array" ref="H60">lifetime_cost($C$4,$C$5,H$57,$A60,$C$10,$C$11,$C$9,$C$17,$C$26,$C$25)</f>
        <v>0</v>
      </c>
      <c r="I60" s="4" cm="1">
        <f t="array" ref="I60">lifetime_cost($C$4,$C$5,I$57,$A60,$C$10,$C$11,$C$9,$C$17,$C$26,$C$25)</f>
        <v>0</v>
      </c>
      <c r="J60" s="4" cm="1">
        <f t="array" ref="J60">lifetime_cost($C$4,$C$5,J$57,$A60,$C$10,$C$11,$C$9,$C$17,$C$26,$C$25)</f>
        <v>0</v>
      </c>
      <c r="K60" s="4" cm="1">
        <f t="array" ref="K60">lifetime_cost($C$4,$C$5,K$57,$A60,$C$10,$C$11,$C$9,$C$17,$C$26,$C$25)</f>
        <v>0</v>
      </c>
      <c r="L60" s="4" cm="1">
        <f t="array" ref="L60">lifetime_cost($C$4,$C$5,L$57,$A60,$C$10,$C$11,$C$9,$C$17,$C$26,$C$25)</f>
        <v>0</v>
      </c>
      <c r="M60" s="4" cm="1">
        <f t="array" ref="M60">lifetime_cost($C$4,$C$5,M$57,$A60,$C$10,$C$11,$C$9,$C$17,$C$26,$C$25)</f>
        <v>0</v>
      </c>
      <c r="N60" s="4" cm="1">
        <f t="array" ref="N60">lifetime_cost($C$4,$C$5,N$57,$A60,$C$10,$C$11,$C$9,$C$17,$C$26,$C$25)</f>
        <v>0</v>
      </c>
    </row>
    <row r="61" spans="1:14" x14ac:dyDescent="0.25">
      <c r="A61" s="2">
        <v>4</v>
      </c>
      <c r="B61" s="4" cm="1">
        <f t="array" ref="B61">lifetime_cost($C$4,$C$5,B$57,$A61,$C$10,$C$11,$C$9,$C$17,$C$26,$C$25)</f>
        <v>79.599999999999994</v>
      </c>
      <c r="C61" s="4" cm="1">
        <f t="array" ref="C61">lifetime_cost($C$4,$C$5,C$57,$A61,$C$10,$C$11,$C$9,$C$17,$C$26,$C$25)</f>
        <v>79.599999999999994</v>
      </c>
      <c r="D61" s="4" cm="1">
        <f t="array" ref="D61">lifetime_cost($C$4,$C$5,D$57,$A61,$C$10,$C$11,$C$9,$C$17,$C$26,$C$25)</f>
        <v>79.599999999999994</v>
      </c>
      <c r="E61" s="4" cm="1">
        <f t="array" ref="E61">lifetime_cost($C$4,$C$5,E$57,$A61,$C$10,$C$11,$C$9,$C$17,$C$26,$C$25)</f>
        <v>0</v>
      </c>
      <c r="F61" s="4" cm="1">
        <f t="array" ref="F61">lifetime_cost($C$4,$C$5,F$57,$A61,$C$10,$C$11,$C$9,$C$17,$C$26,$C$25)</f>
        <v>0</v>
      </c>
      <c r="G61" s="4" cm="1">
        <f t="array" ref="G61">lifetime_cost($C$4,$C$5,G$57,$A61,$C$10,$C$11,$C$9,$C$17,$C$26,$C$25)</f>
        <v>0</v>
      </c>
      <c r="H61" s="4" cm="1">
        <f t="array" ref="H61">lifetime_cost($C$4,$C$5,H$57,$A61,$C$10,$C$11,$C$9,$C$17,$C$26,$C$25)</f>
        <v>0</v>
      </c>
      <c r="I61" s="4" cm="1">
        <f t="array" ref="I61">lifetime_cost($C$4,$C$5,I$57,$A61,$C$10,$C$11,$C$9,$C$17,$C$26,$C$25)</f>
        <v>0</v>
      </c>
      <c r="J61" s="4" cm="1">
        <f t="array" ref="J61">lifetime_cost($C$4,$C$5,J$57,$A61,$C$10,$C$11,$C$9,$C$17,$C$26,$C$25)</f>
        <v>0</v>
      </c>
      <c r="K61" s="4" cm="1">
        <f t="array" ref="K61">lifetime_cost($C$4,$C$5,K$57,$A61,$C$10,$C$11,$C$9,$C$17,$C$26,$C$25)</f>
        <v>0</v>
      </c>
      <c r="L61" s="4" cm="1">
        <f t="array" ref="L61">lifetime_cost($C$4,$C$5,L$57,$A61,$C$10,$C$11,$C$9,$C$17,$C$26,$C$25)</f>
        <v>0</v>
      </c>
      <c r="M61" s="4" cm="1">
        <f t="array" ref="M61">lifetime_cost($C$4,$C$5,M$57,$A61,$C$10,$C$11,$C$9,$C$17,$C$26,$C$25)</f>
        <v>0</v>
      </c>
      <c r="N61" s="4" cm="1">
        <f t="array" ref="N61">lifetime_cost($C$4,$C$5,N$57,$A61,$C$10,$C$11,$C$9,$C$17,$C$26,$C$25)</f>
        <v>0</v>
      </c>
    </row>
    <row r="62" spans="1:14" x14ac:dyDescent="0.25">
      <c r="A62" s="2">
        <v>5</v>
      </c>
      <c r="B62" s="4" cm="1">
        <f t="array" ref="B62">lifetime_cost($C$4,$C$5,B$57,$A62,$C$10,$C$11,$C$9,$C$17,$C$26,$C$25)</f>
        <v>79.599999999999994</v>
      </c>
      <c r="C62" s="4" cm="1">
        <f t="array" ref="C62">lifetime_cost($C$4,$C$5,C$57,$A62,$C$10,$C$11,$C$9,$C$17,$C$26,$C$25)</f>
        <v>79.599999999999994</v>
      </c>
      <c r="D62" s="4" cm="1">
        <f t="array" ref="D62">lifetime_cost($C$4,$C$5,D$57,$A62,$C$10,$C$11,$C$9,$C$17,$C$26,$C$25)</f>
        <v>0</v>
      </c>
      <c r="E62" s="4" cm="1">
        <f t="array" ref="E62">lifetime_cost($C$4,$C$5,E$57,$A62,$C$10,$C$11,$C$9,$C$17,$C$26,$C$25)</f>
        <v>0</v>
      </c>
      <c r="F62" s="4" cm="1">
        <f t="array" ref="F62">lifetime_cost($C$4,$C$5,F$57,$A62,$C$10,$C$11,$C$9,$C$17,$C$26,$C$25)</f>
        <v>0</v>
      </c>
      <c r="G62" s="4" cm="1">
        <f t="array" ref="G62">lifetime_cost($C$4,$C$5,G$57,$A62,$C$10,$C$11,$C$9,$C$17,$C$26,$C$25)</f>
        <v>0</v>
      </c>
      <c r="H62" s="4" cm="1">
        <f t="array" ref="H62">lifetime_cost($C$4,$C$5,H$57,$A62,$C$10,$C$11,$C$9,$C$17,$C$26,$C$25)</f>
        <v>0</v>
      </c>
      <c r="I62" s="4" cm="1">
        <f t="array" ref="I62">lifetime_cost($C$4,$C$5,I$57,$A62,$C$10,$C$11,$C$9,$C$17,$C$26,$C$25)</f>
        <v>0</v>
      </c>
      <c r="J62" s="4" cm="1">
        <f t="array" ref="J62">lifetime_cost($C$4,$C$5,J$57,$A62,$C$10,$C$11,$C$9,$C$17,$C$26,$C$25)</f>
        <v>0</v>
      </c>
      <c r="K62" s="4" cm="1">
        <f t="array" ref="K62">lifetime_cost($C$4,$C$5,K$57,$A62,$C$10,$C$11,$C$9,$C$17,$C$26,$C$25)</f>
        <v>0</v>
      </c>
      <c r="L62" s="4" cm="1">
        <f t="array" ref="L62">lifetime_cost($C$4,$C$5,L$57,$A62,$C$10,$C$11,$C$9,$C$17,$C$26,$C$25)</f>
        <v>0</v>
      </c>
      <c r="M62" s="4" cm="1">
        <f t="array" ref="M62">lifetime_cost($C$4,$C$5,M$57,$A62,$C$10,$C$11,$C$9,$C$17,$C$26,$C$25)</f>
        <v>0</v>
      </c>
      <c r="N62" s="4" cm="1">
        <f t="array" ref="N62">lifetime_cost($C$4,$C$5,N$57,$A62,$C$10,$C$11,$C$9,$C$17,$C$26,$C$25)</f>
        <v>0</v>
      </c>
    </row>
    <row r="63" spans="1:14" x14ac:dyDescent="0.25">
      <c r="A63" s="2">
        <v>6</v>
      </c>
      <c r="B63" s="4" cm="1">
        <f t="array" ref="B63">lifetime_cost($C$4,$C$5,B$57,$A63,$C$10,$C$11,$C$9,$C$17,$C$26,$C$25)</f>
        <v>79.599999999999994</v>
      </c>
      <c r="C63" s="4" cm="1">
        <f t="array" ref="C63">lifetime_cost($C$4,$C$5,C$57,$A63,$C$10,$C$11,$C$9,$C$17,$C$26,$C$25)</f>
        <v>79.599999999999994</v>
      </c>
      <c r="D63" s="4" cm="1">
        <f t="array" ref="D63">lifetime_cost($C$4,$C$5,D$57,$A63,$C$10,$C$11,$C$9,$C$17,$C$26,$C$25)</f>
        <v>0</v>
      </c>
      <c r="E63" s="4" cm="1">
        <f t="array" ref="E63">lifetime_cost($C$4,$C$5,E$57,$A63,$C$10,$C$11,$C$9,$C$17,$C$26,$C$25)</f>
        <v>0</v>
      </c>
      <c r="F63" s="4" cm="1">
        <f t="array" ref="F63">lifetime_cost($C$4,$C$5,F$57,$A63,$C$10,$C$11,$C$9,$C$17,$C$26,$C$25)</f>
        <v>0</v>
      </c>
      <c r="G63" s="4" cm="1">
        <f t="array" ref="G63">lifetime_cost($C$4,$C$5,G$57,$A63,$C$10,$C$11,$C$9,$C$17,$C$26,$C$25)</f>
        <v>0</v>
      </c>
      <c r="H63" s="4" cm="1">
        <f t="array" ref="H63">lifetime_cost($C$4,$C$5,H$57,$A63,$C$10,$C$11,$C$9,$C$17,$C$26,$C$25)</f>
        <v>0</v>
      </c>
      <c r="I63" s="4" cm="1">
        <f t="array" ref="I63">lifetime_cost($C$4,$C$5,I$57,$A63,$C$10,$C$11,$C$9,$C$17,$C$26,$C$25)</f>
        <v>0</v>
      </c>
      <c r="J63" s="4" cm="1">
        <f t="array" ref="J63">lifetime_cost($C$4,$C$5,J$57,$A63,$C$10,$C$11,$C$9,$C$17,$C$26,$C$25)</f>
        <v>0</v>
      </c>
      <c r="K63" s="4" cm="1">
        <f t="array" ref="K63">lifetime_cost($C$4,$C$5,K$57,$A63,$C$10,$C$11,$C$9,$C$17,$C$26,$C$25)</f>
        <v>0</v>
      </c>
      <c r="L63" s="4" cm="1">
        <f t="array" ref="L63">lifetime_cost($C$4,$C$5,L$57,$A63,$C$10,$C$11,$C$9,$C$17,$C$26,$C$25)</f>
        <v>0</v>
      </c>
      <c r="M63" s="4" cm="1">
        <f t="array" ref="M63">lifetime_cost($C$4,$C$5,M$57,$A63,$C$10,$C$11,$C$9,$C$17,$C$26,$C$25)</f>
        <v>0</v>
      </c>
      <c r="N63" s="4" cm="1">
        <f t="array" ref="N63">lifetime_cost($C$4,$C$5,N$57,$A63,$C$10,$C$11,$C$9,$C$17,$C$26,$C$25)</f>
        <v>0</v>
      </c>
    </row>
    <row r="64" spans="1:14" x14ac:dyDescent="0.25">
      <c r="A64" s="2">
        <v>7</v>
      </c>
      <c r="B64" s="4" cm="1">
        <f t="array" ref="B64">lifetime_cost($C$4,$C$5,B$57,$A64,$C$10,$C$11,$C$9,$C$17,$C$26,$C$25)</f>
        <v>79.599999999999994</v>
      </c>
      <c r="C64" s="4" cm="1">
        <f t="array" ref="C64">lifetime_cost($C$4,$C$5,C$57,$A64,$C$10,$C$11,$C$9,$C$17,$C$26,$C$25)</f>
        <v>0</v>
      </c>
      <c r="D64" s="4" cm="1">
        <f t="array" ref="D64">lifetime_cost($C$4,$C$5,D$57,$A64,$C$10,$C$11,$C$9,$C$17,$C$26,$C$25)</f>
        <v>0</v>
      </c>
      <c r="E64" s="4" cm="1">
        <f t="array" ref="E64">lifetime_cost($C$4,$C$5,E$57,$A64,$C$10,$C$11,$C$9,$C$17,$C$26,$C$25)</f>
        <v>0</v>
      </c>
      <c r="F64" s="4" cm="1">
        <f t="array" ref="F64">lifetime_cost($C$4,$C$5,F$57,$A64,$C$10,$C$11,$C$9,$C$17,$C$26,$C$25)</f>
        <v>0</v>
      </c>
      <c r="G64" s="4" cm="1">
        <f t="array" ref="G64">lifetime_cost($C$4,$C$5,G$57,$A64,$C$10,$C$11,$C$9,$C$17,$C$26,$C$25)</f>
        <v>0</v>
      </c>
      <c r="H64" s="4" cm="1">
        <f t="array" ref="H64">lifetime_cost($C$4,$C$5,H$57,$A64,$C$10,$C$11,$C$9,$C$17,$C$26,$C$25)</f>
        <v>0</v>
      </c>
      <c r="I64" s="4" cm="1">
        <f t="array" ref="I64">lifetime_cost($C$4,$C$5,I$57,$A64,$C$10,$C$11,$C$9,$C$17,$C$26,$C$25)</f>
        <v>0</v>
      </c>
      <c r="J64" s="4" cm="1">
        <f t="array" ref="J64">lifetime_cost($C$4,$C$5,J$57,$A64,$C$10,$C$11,$C$9,$C$17,$C$26,$C$25)</f>
        <v>0</v>
      </c>
      <c r="K64" s="4" cm="1">
        <f t="array" ref="K64">lifetime_cost($C$4,$C$5,K$57,$A64,$C$10,$C$11,$C$9,$C$17,$C$26,$C$25)</f>
        <v>0</v>
      </c>
      <c r="L64" s="4" cm="1">
        <f t="array" ref="L64">lifetime_cost($C$4,$C$5,L$57,$A64,$C$10,$C$11,$C$9,$C$17,$C$26,$C$25)</f>
        <v>0</v>
      </c>
      <c r="M64" s="4" cm="1">
        <f t="array" ref="M64">lifetime_cost($C$4,$C$5,M$57,$A64,$C$10,$C$11,$C$9,$C$17,$C$26,$C$25)</f>
        <v>0</v>
      </c>
      <c r="N64" s="4" cm="1">
        <f t="array" ref="N64">lifetime_cost($C$4,$C$5,N$57,$A64,$C$10,$C$11,$C$9,$C$17,$C$26,$C$25)</f>
        <v>0</v>
      </c>
    </row>
    <row r="65" spans="1:16" x14ac:dyDescent="0.25">
      <c r="A65" s="2">
        <v>8</v>
      </c>
      <c r="B65" s="4" cm="1">
        <f t="array" ref="B65">lifetime_cost($C$4,$C$5,B$57,$A65,$C$10,$C$11,$C$9,$C$17,$C$26,$C$25)</f>
        <v>79.599999999999994</v>
      </c>
      <c r="C65" s="4" cm="1">
        <f t="array" ref="C65">lifetime_cost($C$4,$C$5,C$57,$A65,$C$10,$C$11,$C$9,$C$17,$C$26,$C$25)</f>
        <v>0</v>
      </c>
      <c r="D65" s="4" cm="1">
        <f t="array" ref="D65">lifetime_cost($C$4,$C$5,D$57,$A65,$C$10,$C$11,$C$9,$C$17,$C$26,$C$25)</f>
        <v>0</v>
      </c>
      <c r="E65" s="4" cm="1">
        <f t="array" ref="E65">lifetime_cost($C$4,$C$5,E$57,$A65,$C$10,$C$11,$C$9,$C$17,$C$26,$C$25)</f>
        <v>0</v>
      </c>
      <c r="F65" s="4" cm="1">
        <f t="array" ref="F65">lifetime_cost($C$4,$C$5,F$57,$A65,$C$10,$C$11,$C$9,$C$17,$C$26,$C$25)</f>
        <v>0</v>
      </c>
      <c r="G65" s="4" cm="1">
        <f t="array" ref="G65">lifetime_cost($C$4,$C$5,G$57,$A65,$C$10,$C$11,$C$9,$C$17,$C$26,$C$25)</f>
        <v>0</v>
      </c>
      <c r="H65" s="4" cm="1">
        <f t="array" ref="H65">lifetime_cost($C$4,$C$5,H$57,$A65,$C$10,$C$11,$C$9,$C$17,$C$26,$C$25)</f>
        <v>0</v>
      </c>
      <c r="I65" s="4" cm="1">
        <f t="array" ref="I65">lifetime_cost($C$4,$C$5,I$57,$A65,$C$10,$C$11,$C$9,$C$17,$C$26,$C$25)</f>
        <v>0</v>
      </c>
      <c r="J65" s="4" cm="1">
        <f t="array" ref="J65">lifetime_cost($C$4,$C$5,J$57,$A65,$C$10,$C$11,$C$9,$C$17,$C$26,$C$25)</f>
        <v>0</v>
      </c>
      <c r="K65" s="4" cm="1">
        <f t="array" ref="K65">lifetime_cost($C$4,$C$5,K$57,$A65,$C$10,$C$11,$C$9,$C$17,$C$26,$C$25)</f>
        <v>0</v>
      </c>
      <c r="L65" s="4" cm="1">
        <f t="array" ref="L65">lifetime_cost($C$4,$C$5,L$57,$A65,$C$10,$C$11,$C$9,$C$17,$C$26,$C$25)</f>
        <v>0</v>
      </c>
      <c r="M65" s="4" cm="1">
        <f t="array" ref="M65">lifetime_cost($C$4,$C$5,M$57,$A65,$C$10,$C$11,$C$9,$C$17,$C$26,$C$25)</f>
        <v>0</v>
      </c>
      <c r="N65" s="4" cm="1">
        <f t="array" ref="N65">lifetime_cost($C$4,$C$5,N$57,$A65,$C$10,$C$11,$C$9,$C$17,$C$26,$C$25)</f>
        <v>0</v>
      </c>
    </row>
    <row r="66" spans="1:16" x14ac:dyDescent="0.25">
      <c r="A66" s="2">
        <v>9</v>
      </c>
      <c r="B66" s="4" cm="1">
        <f t="array" ref="B66">lifetime_cost($C$4,$C$5,B$57,$A66,$C$10,$C$11,$C$9,$C$17,$C$26,$C$25)</f>
        <v>79.599999999999994</v>
      </c>
      <c r="C66" s="4" cm="1">
        <f t="array" ref="C66">lifetime_cost($C$4,$C$5,C$57,$A66,$C$10,$C$11,$C$9,$C$17,$C$26,$C$25)</f>
        <v>0</v>
      </c>
      <c r="D66" s="4" cm="1">
        <f t="array" ref="D66">lifetime_cost($C$4,$C$5,D$57,$A66,$C$10,$C$11,$C$9,$C$17,$C$26,$C$25)</f>
        <v>0</v>
      </c>
      <c r="E66" s="4" cm="1">
        <f t="array" ref="E66">lifetime_cost($C$4,$C$5,E$57,$A66,$C$10,$C$11,$C$9,$C$17,$C$26,$C$25)</f>
        <v>0</v>
      </c>
      <c r="F66" s="4" cm="1">
        <f t="array" ref="F66">lifetime_cost($C$4,$C$5,F$57,$A66,$C$10,$C$11,$C$9,$C$17,$C$26,$C$25)</f>
        <v>0</v>
      </c>
      <c r="G66" s="4" cm="1">
        <f t="array" ref="G66">lifetime_cost($C$4,$C$5,G$57,$A66,$C$10,$C$11,$C$9,$C$17,$C$26,$C$25)</f>
        <v>0</v>
      </c>
      <c r="H66" s="4" cm="1">
        <f t="array" ref="H66">lifetime_cost($C$4,$C$5,H$57,$A66,$C$10,$C$11,$C$9,$C$17,$C$26,$C$25)</f>
        <v>0</v>
      </c>
      <c r="I66" s="4" cm="1">
        <f t="array" ref="I66">lifetime_cost($C$4,$C$5,I$57,$A66,$C$10,$C$11,$C$9,$C$17,$C$26,$C$25)</f>
        <v>0</v>
      </c>
      <c r="J66" s="4" cm="1">
        <f t="array" ref="J66">lifetime_cost($C$4,$C$5,J$57,$A66,$C$10,$C$11,$C$9,$C$17,$C$26,$C$25)</f>
        <v>0</v>
      </c>
      <c r="K66" s="4" cm="1">
        <f t="array" ref="K66">lifetime_cost($C$4,$C$5,K$57,$A66,$C$10,$C$11,$C$9,$C$17,$C$26,$C$25)</f>
        <v>0</v>
      </c>
      <c r="L66" s="4" cm="1">
        <f t="array" ref="L66">lifetime_cost($C$4,$C$5,L$57,$A66,$C$10,$C$11,$C$9,$C$17,$C$26,$C$25)</f>
        <v>0</v>
      </c>
      <c r="M66" s="4" cm="1">
        <f t="array" ref="M66">lifetime_cost($C$4,$C$5,M$57,$A66,$C$10,$C$11,$C$9,$C$17,$C$26,$C$25)</f>
        <v>0</v>
      </c>
      <c r="N66" s="4" cm="1">
        <f t="array" ref="N66">lifetime_cost($C$4,$C$5,N$57,$A66,$C$10,$C$11,$C$9,$C$17,$C$26,$C$25)</f>
        <v>0</v>
      </c>
    </row>
    <row r="67" spans="1:16" x14ac:dyDescent="0.25">
      <c r="A67" s="2">
        <v>10</v>
      </c>
      <c r="B67" s="4" cm="1">
        <f t="array" ref="B67">lifetime_cost($C$4,$C$5,B$57,$A67,$C$10,$C$11,$C$9,$C$17,$C$26,$C$25)</f>
        <v>79.599999999999994</v>
      </c>
      <c r="C67" s="4" cm="1">
        <f t="array" ref="C67">lifetime_cost($C$4,$C$5,C$57,$A67,$C$10,$C$11,$C$9,$C$17,$C$26,$C$25)</f>
        <v>0</v>
      </c>
      <c r="D67" s="4" cm="1">
        <f t="array" ref="D67">lifetime_cost($C$4,$C$5,D$57,$A67,$C$10,$C$11,$C$9,$C$17,$C$26,$C$25)</f>
        <v>0</v>
      </c>
      <c r="E67" s="4" cm="1">
        <f t="array" ref="E67">lifetime_cost($C$4,$C$5,E$57,$A67,$C$10,$C$11,$C$9,$C$17,$C$26,$C$25)</f>
        <v>0</v>
      </c>
      <c r="F67" s="4" cm="1">
        <f t="array" ref="F67">lifetime_cost($C$4,$C$5,F$57,$A67,$C$10,$C$11,$C$9,$C$17,$C$26,$C$25)</f>
        <v>0</v>
      </c>
      <c r="G67" s="4" cm="1">
        <f t="array" ref="G67">lifetime_cost($C$4,$C$5,G$57,$A67,$C$10,$C$11,$C$9,$C$17,$C$26,$C$25)</f>
        <v>0</v>
      </c>
      <c r="H67" s="4" cm="1">
        <f t="array" ref="H67">lifetime_cost($C$4,$C$5,H$57,$A67,$C$10,$C$11,$C$9,$C$17,$C$26,$C$25)</f>
        <v>0</v>
      </c>
      <c r="I67" s="4" cm="1">
        <f t="array" ref="I67">lifetime_cost($C$4,$C$5,I$57,$A67,$C$10,$C$11,$C$9,$C$17,$C$26,$C$25)</f>
        <v>0</v>
      </c>
      <c r="J67" s="4" cm="1">
        <f t="array" ref="J67">lifetime_cost($C$4,$C$5,J$57,$A67,$C$10,$C$11,$C$9,$C$17,$C$26,$C$25)</f>
        <v>0</v>
      </c>
      <c r="K67" s="4" cm="1">
        <f t="array" ref="K67">lifetime_cost($C$4,$C$5,K$57,$A67,$C$10,$C$11,$C$9,$C$17,$C$26,$C$25)</f>
        <v>0</v>
      </c>
      <c r="L67" s="4" cm="1">
        <f t="array" ref="L67">lifetime_cost($C$4,$C$5,L$57,$A67,$C$10,$C$11,$C$9,$C$17,$C$26,$C$25)</f>
        <v>0</v>
      </c>
      <c r="M67" s="4" cm="1">
        <f t="array" ref="M67">lifetime_cost($C$4,$C$5,M$57,$A67,$C$10,$C$11,$C$9,$C$17,$C$26,$C$25)</f>
        <v>0</v>
      </c>
      <c r="N67" s="4" cm="1">
        <f t="array" ref="N67">lifetime_cost($C$4,$C$5,N$57,$A67,$C$10,$C$11,$C$9,$C$17,$C$26,$C$25)</f>
        <v>0</v>
      </c>
    </row>
    <row r="68" spans="1:16" x14ac:dyDescent="0.25">
      <c r="A68" s="2">
        <v>11</v>
      </c>
      <c r="B68" s="4" cm="1">
        <f t="array" ref="B68">lifetime_cost($C$4,$C$5,B$57,$A68,$C$10,$C$11,$C$9,$C$17,$C$26,$C$25)</f>
        <v>79.599999999999994</v>
      </c>
      <c r="C68" s="4" cm="1">
        <f t="array" ref="C68">lifetime_cost($C$4,$C$5,C$57,$A68,$C$10,$C$11,$C$9,$C$17,$C$26,$C$25)</f>
        <v>0</v>
      </c>
      <c r="D68" s="4" cm="1">
        <f t="array" ref="D68">lifetime_cost($C$4,$C$5,D$57,$A68,$C$10,$C$11,$C$9,$C$17,$C$26,$C$25)</f>
        <v>0</v>
      </c>
      <c r="E68" s="4" cm="1">
        <f t="array" ref="E68">lifetime_cost($C$4,$C$5,E$57,$A68,$C$10,$C$11,$C$9,$C$17,$C$26,$C$25)</f>
        <v>0</v>
      </c>
      <c r="F68" s="4" cm="1">
        <f t="array" ref="F68">lifetime_cost($C$4,$C$5,F$57,$A68,$C$10,$C$11,$C$9,$C$17,$C$26,$C$25)</f>
        <v>0</v>
      </c>
      <c r="G68" s="4" cm="1">
        <f t="array" ref="G68">lifetime_cost($C$4,$C$5,G$57,$A68,$C$10,$C$11,$C$9,$C$17,$C$26,$C$25)</f>
        <v>0</v>
      </c>
      <c r="H68" s="4" cm="1">
        <f t="array" ref="H68">lifetime_cost($C$4,$C$5,H$57,$A68,$C$10,$C$11,$C$9,$C$17,$C$26,$C$25)</f>
        <v>0</v>
      </c>
      <c r="I68" s="4" cm="1">
        <f t="array" ref="I68">lifetime_cost($C$4,$C$5,I$57,$A68,$C$10,$C$11,$C$9,$C$17,$C$26,$C$25)</f>
        <v>0</v>
      </c>
      <c r="J68" s="4" cm="1">
        <f t="array" ref="J68">lifetime_cost($C$4,$C$5,J$57,$A68,$C$10,$C$11,$C$9,$C$17,$C$26,$C$25)</f>
        <v>0</v>
      </c>
      <c r="K68" s="4" cm="1">
        <f t="array" ref="K68">lifetime_cost($C$4,$C$5,K$57,$A68,$C$10,$C$11,$C$9,$C$17,$C$26,$C$25)</f>
        <v>0</v>
      </c>
      <c r="L68" s="4" cm="1">
        <f t="array" ref="L68">lifetime_cost($C$4,$C$5,L$57,$A68,$C$10,$C$11,$C$9,$C$17,$C$26,$C$25)</f>
        <v>0</v>
      </c>
      <c r="M68" s="4" cm="1">
        <f t="array" ref="M68">lifetime_cost($C$4,$C$5,M$57,$A68,$C$10,$C$11,$C$9,$C$17,$C$26,$C$25)</f>
        <v>0</v>
      </c>
      <c r="N68" s="4" cm="1">
        <f t="array" ref="N68">lifetime_cost($C$4,$C$5,N$57,$A68,$C$10,$C$11,$C$9,$C$17,$C$26,$C$25)</f>
        <v>0</v>
      </c>
    </row>
    <row r="69" spans="1:16" x14ac:dyDescent="0.25">
      <c r="A69" s="2">
        <v>12</v>
      </c>
      <c r="B69" s="4" cm="1">
        <f t="array" ref="B69">lifetime_cost($C$4,$C$5,B$57,$A69,$C$10,$C$11,$C$9,$C$17,$C$26,$C$25)</f>
        <v>79.599999999999994</v>
      </c>
      <c r="C69" s="4" cm="1">
        <f t="array" ref="C69">lifetime_cost($C$4,$C$5,C$57,$A69,$C$10,$C$11,$C$9,$C$17,$C$26,$C$25)</f>
        <v>0</v>
      </c>
      <c r="D69" s="4" cm="1">
        <f t="array" ref="D69">lifetime_cost($C$4,$C$5,D$57,$A69,$C$10,$C$11,$C$9,$C$17,$C$26,$C$25)</f>
        <v>0</v>
      </c>
      <c r="E69" s="4" cm="1">
        <f t="array" ref="E69">lifetime_cost($C$4,$C$5,E$57,$A69,$C$10,$C$11,$C$9,$C$17,$C$26,$C$25)</f>
        <v>0</v>
      </c>
      <c r="F69" s="4" cm="1">
        <f t="array" ref="F69">lifetime_cost($C$4,$C$5,F$57,$A69,$C$10,$C$11,$C$9,$C$17,$C$26,$C$25)</f>
        <v>0</v>
      </c>
      <c r="G69" s="4" cm="1">
        <f t="array" ref="G69">lifetime_cost($C$4,$C$5,G$57,$A69,$C$10,$C$11,$C$9,$C$17,$C$26,$C$25)</f>
        <v>0</v>
      </c>
      <c r="H69" s="4" cm="1">
        <f t="array" ref="H69">lifetime_cost($C$4,$C$5,H$57,$A69,$C$10,$C$11,$C$9,$C$17,$C$26,$C$25)</f>
        <v>0</v>
      </c>
      <c r="I69" s="4" cm="1">
        <f t="array" ref="I69">lifetime_cost($C$4,$C$5,I$57,$A69,$C$10,$C$11,$C$9,$C$17,$C$26,$C$25)</f>
        <v>0</v>
      </c>
      <c r="J69" s="4" cm="1">
        <f t="array" ref="J69">lifetime_cost($C$4,$C$5,J$57,$A69,$C$10,$C$11,$C$9,$C$17,$C$26,$C$25)</f>
        <v>0</v>
      </c>
      <c r="K69" s="4" cm="1">
        <f t="array" ref="K69">lifetime_cost($C$4,$C$5,K$57,$A69,$C$10,$C$11,$C$9,$C$17,$C$26,$C$25)</f>
        <v>0</v>
      </c>
      <c r="L69" s="4" cm="1">
        <f t="array" ref="L69">lifetime_cost($C$4,$C$5,L$57,$A69,$C$10,$C$11,$C$9,$C$17,$C$26,$C$25)</f>
        <v>0</v>
      </c>
      <c r="M69" s="4" cm="1">
        <f t="array" ref="M69">lifetime_cost($C$4,$C$5,M$57,$A69,$C$10,$C$11,$C$9,$C$17,$C$26,$C$25)</f>
        <v>0</v>
      </c>
      <c r="N69" s="4" cm="1">
        <f t="array" ref="N69">lifetime_cost($C$4,$C$5,N$57,$A69,$C$10,$C$11,$C$9,$C$17,$C$26,$C$25)</f>
        <v>0</v>
      </c>
    </row>
    <row r="73" spans="1:16" x14ac:dyDescent="0.25">
      <c r="A73" s="2" t="s">
        <v>82</v>
      </c>
    </row>
    <row r="74" spans="1:16" x14ac:dyDescent="0.25">
      <c r="B74" s="2" t="s">
        <v>29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6" x14ac:dyDescent="0.25">
      <c r="A75" s="2" t="s">
        <v>27</v>
      </c>
      <c r="B75" s="2">
        <v>0.5</v>
      </c>
      <c r="C75" s="2">
        <f>B75+0.5</f>
        <v>1</v>
      </c>
      <c r="D75" s="2">
        <f t="shared" ref="D75:I75" si="3">C75+0.5</f>
        <v>1.5</v>
      </c>
      <c r="E75" s="2">
        <f t="shared" si="3"/>
        <v>2</v>
      </c>
      <c r="F75" s="2">
        <f t="shared" si="3"/>
        <v>2.5</v>
      </c>
      <c r="G75" s="2">
        <f t="shared" si="3"/>
        <v>3</v>
      </c>
      <c r="H75" s="2">
        <f t="shared" si="3"/>
        <v>3.5</v>
      </c>
      <c r="I75" s="2">
        <f t="shared" si="3"/>
        <v>4</v>
      </c>
      <c r="J75" s="2">
        <f>I75+0.5</f>
        <v>4.5</v>
      </c>
      <c r="K75" s="2">
        <f t="shared" ref="K75:N75" si="4">J75+0.5</f>
        <v>5</v>
      </c>
      <c r="L75" s="2">
        <f t="shared" si="4"/>
        <v>5.5</v>
      </c>
      <c r="M75" s="2">
        <f t="shared" si="4"/>
        <v>6</v>
      </c>
      <c r="N75" s="2">
        <f t="shared" si="4"/>
        <v>6.5</v>
      </c>
    </row>
    <row r="76" spans="1:16" x14ac:dyDescent="0.25">
      <c r="A76" s="2">
        <v>1</v>
      </c>
      <c r="B76" s="3" cm="1">
        <f t="array" ref="B76">goodness_ratio(B41,B58)</f>
        <v>0.48241206030150757</v>
      </c>
      <c r="C76" s="3" cm="1">
        <f t="array" ref="C76">goodness_ratio(C41,C58)</f>
        <v>0.8040201005025126</v>
      </c>
      <c r="D76" s="3" cm="1">
        <f t="array" ref="D76">goodness_ratio(D41,D58)</f>
        <v>1.1256281407035176</v>
      </c>
      <c r="E76" s="3" cm="1">
        <f t="array" ref="E76">goodness_ratio(E41,E58)</f>
        <v>1.4472361809045227</v>
      </c>
      <c r="F76" s="3" cm="1">
        <f t="array" ref="F76">goodness_ratio(F41,F58)</f>
        <v>1.768844221105528</v>
      </c>
      <c r="G76" s="3" cm="1">
        <f t="array" ref="G76">goodness_ratio(G41,G58)</f>
        <v>1.9296482412060303</v>
      </c>
      <c r="H76" s="3" cm="1">
        <f t="array" ref="H76">goodness_ratio(H41,H58)</f>
        <v>2.0904522613065328</v>
      </c>
      <c r="I76" s="3" cm="1">
        <f t="array" ref="I76">goodness_ratio(I41,I58)</f>
        <v>2.733668341708543</v>
      </c>
      <c r="J76" s="3" cm="1">
        <f t="array" ref="J76">goodness_ratio(J41,J58)</f>
        <v>3.2160804020100504</v>
      </c>
      <c r="K76" s="3" cm="1">
        <f t="array" ref="K76">goodness_ratio(K41,K58)</f>
        <v>2.733668341708543</v>
      </c>
      <c r="L76" s="3" cm="1">
        <f t="array" ref="L76">goodness_ratio(L41,L58)</f>
        <v>3.2160804020100504</v>
      </c>
      <c r="M76" s="3" cm="1">
        <f t="array" ref="M76">goodness_ratio(M41,M58)</f>
        <v>4.0201005025125633</v>
      </c>
      <c r="N76" s="3" cm="1">
        <f t="array" ref="N76">goodness_ratio(N41,N58)</f>
        <v>0</v>
      </c>
      <c r="P76" s="2" t="s">
        <v>87</v>
      </c>
    </row>
    <row r="77" spans="1:16" x14ac:dyDescent="0.25">
      <c r="A77" s="2">
        <v>2</v>
      </c>
      <c r="B77" s="3" cm="1">
        <f t="array" ref="B77">goodness_ratio(B42,B59)</f>
        <v>0.48241206030150757</v>
      </c>
      <c r="C77" s="3" cm="1">
        <f t="array" ref="C77">goodness_ratio(C42,C59)</f>
        <v>0.8040201005025126</v>
      </c>
      <c r="D77" s="3" cm="1">
        <f t="array" ref="D77">goodness_ratio(D42,D59)</f>
        <v>0.96482412060301515</v>
      </c>
      <c r="E77" s="3" cm="1">
        <f t="array" ref="E77">goodness_ratio(E42,E59)</f>
        <v>1.4472361809045227</v>
      </c>
      <c r="F77" s="3" cm="1">
        <f t="array" ref="F77">goodness_ratio(F42,F59)</f>
        <v>1.4472361809045227</v>
      </c>
      <c r="G77" s="3" cm="1">
        <f t="array" ref="G77">goodness_ratio(G42,G59)</f>
        <v>2.0904522613065328</v>
      </c>
      <c r="H77" s="3" cm="1">
        <f t="array" ref="H77">goodness_ratio(H42,H59)</f>
        <v>0</v>
      </c>
      <c r="I77" s="3" cm="1">
        <f t="array" ref="I77">goodness_ratio(I42,I59)</f>
        <v>0</v>
      </c>
      <c r="J77" s="3" cm="1">
        <f t="array" ref="J77">goodness_ratio(J42,J59)</f>
        <v>0</v>
      </c>
      <c r="K77" s="3" cm="1">
        <f t="array" ref="K77">goodness_ratio(K42,K59)</f>
        <v>0</v>
      </c>
      <c r="L77" s="3" cm="1">
        <f t="array" ref="L77">goodness_ratio(L42,L59)</f>
        <v>0</v>
      </c>
      <c r="M77" s="3" cm="1">
        <f t="array" ref="M77">goodness_ratio(M42,M59)</f>
        <v>0</v>
      </c>
      <c r="N77" s="3" cm="1">
        <f t="array" ref="N77">goodness_ratio(N42,N59)</f>
        <v>0</v>
      </c>
      <c r="P77" t="s">
        <v>83</v>
      </c>
    </row>
    <row r="78" spans="1:16" x14ac:dyDescent="0.25">
      <c r="A78" s="2">
        <v>3</v>
      </c>
      <c r="B78" s="3" cm="1">
        <f t="array" ref="B78">goodness_ratio(B43,B60)</f>
        <v>0.48241206030150757</v>
      </c>
      <c r="C78" s="3" cm="1">
        <f t="array" ref="C78">goodness_ratio(C43,C60)</f>
        <v>0.64321608040201017</v>
      </c>
      <c r="D78" s="3" cm="1">
        <f t="array" ref="D78">goodness_ratio(D43,D60)</f>
        <v>1.1256281407035176</v>
      </c>
      <c r="E78" s="3" cm="1">
        <f t="array" ref="E78">goodness_ratio(E43,E60)</f>
        <v>1.4472361809045227</v>
      </c>
      <c r="F78" s="3" cm="1">
        <f t="array" ref="F78">goodness_ratio(F43,F60)</f>
        <v>0</v>
      </c>
      <c r="G78" s="3" cm="1">
        <f t="array" ref="G78">goodness_ratio(G43,G60)</f>
        <v>0</v>
      </c>
      <c r="H78" s="3" cm="1">
        <f t="array" ref="H78">goodness_ratio(H43,H60)</f>
        <v>0</v>
      </c>
      <c r="I78" s="3" cm="1">
        <f t="array" ref="I78">goodness_ratio(I43,I60)</f>
        <v>0</v>
      </c>
      <c r="J78" s="3" cm="1">
        <f t="array" ref="J78">goodness_ratio(J43,J60)</f>
        <v>0</v>
      </c>
      <c r="K78" s="3" cm="1">
        <f t="array" ref="K78">goodness_ratio(K43,K60)</f>
        <v>-1</v>
      </c>
      <c r="L78" s="3" cm="1">
        <f t="array" ref="L78">goodness_ratio(L43,L60)</f>
        <v>-1</v>
      </c>
      <c r="M78" s="3" cm="1">
        <f t="array" ref="M78">goodness_ratio(M43,M60)</f>
        <v>-1</v>
      </c>
      <c r="N78" s="3" cm="1">
        <f t="array" ref="N78">goodness_ratio(N43,N60)</f>
        <v>-1</v>
      </c>
      <c r="P78" t="s">
        <v>85</v>
      </c>
    </row>
    <row r="79" spans="1:16" x14ac:dyDescent="0.25">
      <c r="A79" s="2">
        <v>4</v>
      </c>
      <c r="B79" s="3" cm="1">
        <f t="array" ref="B79">goodness_ratio(B44,B61)</f>
        <v>0.48241206030150757</v>
      </c>
      <c r="C79" s="3" cm="1">
        <f t="array" ref="C79">goodness_ratio(C44,C61)</f>
        <v>0.8040201005025126</v>
      </c>
      <c r="D79" s="3" cm="1">
        <f t="array" ref="D79">goodness_ratio(D44,D61)</f>
        <v>1.1256281407035176</v>
      </c>
      <c r="E79" s="3" cm="1">
        <f t="array" ref="E79">goodness_ratio(E44,E61)</f>
        <v>0</v>
      </c>
      <c r="F79" s="3" cm="1">
        <f t="array" ref="F79">goodness_ratio(F44,F61)</f>
        <v>0</v>
      </c>
      <c r="G79" s="3" cm="1">
        <f t="array" ref="G79">goodness_ratio(G44,G61)</f>
        <v>0</v>
      </c>
      <c r="H79" s="3" cm="1">
        <f t="array" ref="H79">goodness_ratio(H44,H61)</f>
        <v>-1</v>
      </c>
      <c r="I79" s="3" cm="1">
        <f t="array" ref="I79">goodness_ratio(I44,I61)</f>
        <v>-1</v>
      </c>
      <c r="J79" s="3" cm="1">
        <f t="array" ref="J79">goodness_ratio(J44,J61)</f>
        <v>-1</v>
      </c>
      <c r="K79" s="3" cm="1">
        <f t="array" ref="K79">goodness_ratio(K44,K61)</f>
        <v>-1</v>
      </c>
      <c r="L79" s="3" cm="1">
        <f t="array" ref="L79">goodness_ratio(L44,L61)</f>
        <v>-1</v>
      </c>
      <c r="M79" s="3" cm="1">
        <f t="array" ref="M79">goodness_ratio(M44,M61)</f>
        <v>-1</v>
      </c>
      <c r="N79" s="3" cm="1">
        <f t="array" ref="N79">goodness_ratio(N44,N61)</f>
        <v>-1</v>
      </c>
      <c r="P79" t="s">
        <v>84</v>
      </c>
    </row>
    <row r="80" spans="1:16" x14ac:dyDescent="0.25">
      <c r="A80" s="2">
        <v>5</v>
      </c>
      <c r="B80" s="3" cm="1">
        <f t="array" ref="B80">goodness_ratio(B45,B62)</f>
        <v>0.48241206030150757</v>
      </c>
      <c r="C80" s="3" cm="1">
        <f t="array" ref="C80">goodness_ratio(C45,C62)</f>
        <v>0.64321608040201017</v>
      </c>
      <c r="D80" s="3" cm="1">
        <f t="array" ref="D80">goodness_ratio(D45,D62)</f>
        <v>0</v>
      </c>
      <c r="E80" s="3" cm="1">
        <f t="array" ref="E80">goodness_ratio(E45,E62)</f>
        <v>0</v>
      </c>
      <c r="F80" s="3" cm="1">
        <f t="array" ref="F80">goodness_ratio(F45,F62)</f>
        <v>0</v>
      </c>
      <c r="G80" s="3" cm="1">
        <f t="array" ref="G80">goodness_ratio(G45,G62)</f>
        <v>-1</v>
      </c>
      <c r="H80" s="3" cm="1">
        <f t="array" ref="H80">goodness_ratio(H45,H62)</f>
        <v>-1</v>
      </c>
      <c r="I80" s="3" cm="1">
        <f t="array" ref="I80">goodness_ratio(I45,I62)</f>
        <v>-1</v>
      </c>
      <c r="J80" s="3" cm="1">
        <f t="array" ref="J80">goodness_ratio(J45,J62)</f>
        <v>-1</v>
      </c>
      <c r="K80" s="3" cm="1">
        <f t="array" ref="K80">goodness_ratio(K45,K62)</f>
        <v>-1</v>
      </c>
      <c r="L80" s="3" cm="1">
        <f t="array" ref="L80">goodness_ratio(L45,L62)</f>
        <v>-1</v>
      </c>
      <c r="M80" s="3" cm="1">
        <f t="array" ref="M80">goodness_ratio(M45,M62)</f>
        <v>-1</v>
      </c>
      <c r="N80" s="3" cm="1">
        <f t="array" ref="N80">goodness_ratio(N45,N62)</f>
        <v>-1</v>
      </c>
      <c r="P80" t="s">
        <v>86</v>
      </c>
    </row>
    <row r="81" spans="1:16" x14ac:dyDescent="0.25">
      <c r="A81" s="2">
        <v>6</v>
      </c>
      <c r="B81" s="3" cm="1">
        <f t="array" ref="B81">goodness_ratio(B46,B63)</f>
        <v>0.32160804020100509</v>
      </c>
      <c r="C81" s="3" cm="1">
        <f t="array" ref="C81">goodness_ratio(C46,C63)</f>
        <v>0.8040201005025126</v>
      </c>
      <c r="D81" s="3" cm="1">
        <f t="array" ref="D81">goodness_ratio(D46,D63)</f>
        <v>0</v>
      </c>
      <c r="E81" s="3" cm="1">
        <f t="array" ref="E81">goodness_ratio(E46,E63)</f>
        <v>0</v>
      </c>
      <c r="F81" s="3" cm="1">
        <f t="array" ref="F81">goodness_ratio(F46,F63)</f>
        <v>-1</v>
      </c>
      <c r="G81" s="3" cm="1">
        <f t="array" ref="G81">goodness_ratio(G46,G63)</f>
        <v>-1</v>
      </c>
      <c r="H81" s="3" cm="1">
        <f t="array" ref="H81">goodness_ratio(H46,H63)</f>
        <v>-1</v>
      </c>
      <c r="I81" s="3" cm="1">
        <f t="array" ref="I81">goodness_ratio(I46,I63)</f>
        <v>-1</v>
      </c>
      <c r="J81" s="3" cm="1">
        <f t="array" ref="J81">goodness_ratio(J46,J63)</f>
        <v>-1</v>
      </c>
      <c r="K81" s="3" cm="1">
        <f t="array" ref="K81">goodness_ratio(K46,K63)</f>
        <v>-1</v>
      </c>
      <c r="L81" s="3" cm="1">
        <f t="array" ref="L81">goodness_ratio(L46,L63)</f>
        <v>-1</v>
      </c>
      <c r="M81" s="3" cm="1">
        <f t="array" ref="M81">goodness_ratio(M46,M63)</f>
        <v>-1</v>
      </c>
      <c r="N81" s="3" cm="1">
        <f t="array" ref="N81">goodness_ratio(N46,N63)</f>
        <v>-1</v>
      </c>
      <c r="P81" s="3" t="str">
        <f>"-1/Green not met by either battery type"</f>
        <v>-1/Green not met by either battery type</v>
      </c>
    </row>
    <row r="82" spans="1:16" x14ac:dyDescent="0.25">
      <c r="A82" s="2">
        <v>7</v>
      </c>
      <c r="B82" s="3" cm="1">
        <f t="array" ref="B82">goodness_ratio(B47,B64)</f>
        <v>0.32160804020100509</v>
      </c>
      <c r="C82" s="3" cm="1">
        <f t="array" ref="C82">goodness_ratio(C47,C64)</f>
        <v>0</v>
      </c>
      <c r="D82" s="3" cm="1">
        <f t="array" ref="D82">goodness_ratio(D47,D64)</f>
        <v>0</v>
      </c>
      <c r="E82" s="3" cm="1">
        <f t="array" ref="E82">goodness_ratio(E47,E64)</f>
        <v>-1</v>
      </c>
      <c r="F82" s="3" cm="1">
        <f t="array" ref="F82">goodness_ratio(F47,F64)</f>
        <v>-1</v>
      </c>
      <c r="G82" s="3" cm="1">
        <f t="array" ref="G82">goodness_ratio(G47,G64)</f>
        <v>-1</v>
      </c>
      <c r="H82" s="3" cm="1">
        <f t="array" ref="H82">goodness_ratio(H47,H64)</f>
        <v>-1</v>
      </c>
      <c r="I82" s="3" cm="1">
        <f t="array" ref="I82">goodness_ratio(I47,I64)</f>
        <v>-1</v>
      </c>
      <c r="J82" s="3" cm="1">
        <f t="array" ref="J82">goodness_ratio(J47,J64)</f>
        <v>-1</v>
      </c>
      <c r="K82" s="3" cm="1">
        <f t="array" ref="K82">goodness_ratio(K47,K64)</f>
        <v>-1</v>
      </c>
      <c r="L82" s="3" cm="1">
        <f t="array" ref="L82">goodness_ratio(L47,L64)</f>
        <v>-1</v>
      </c>
      <c r="M82" s="3" cm="1">
        <f t="array" ref="M82">goodness_ratio(M47,M64)</f>
        <v>-1</v>
      </c>
      <c r="N82" s="3" cm="1">
        <f t="array" ref="N82">goodness_ratio(N47,N64)</f>
        <v>-1</v>
      </c>
    </row>
    <row r="83" spans="1:16" x14ac:dyDescent="0.25">
      <c r="A83" s="2">
        <v>8</v>
      </c>
      <c r="B83" s="3" cm="1">
        <f t="array" ref="B83">goodness_ratio(B48,B65)</f>
        <v>0.48241206030150757</v>
      </c>
      <c r="C83" s="3" cm="1">
        <f t="array" ref="C83">goodness_ratio(C48,C65)</f>
        <v>0</v>
      </c>
      <c r="D83" s="3" cm="1">
        <f t="array" ref="D83">goodness_ratio(D48,D65)</f>
        <v>0</v>
      </c>
      <c r="E83" s="3" cm="1">
        <f t="array" ref="E83">goodness_ratio(E48,E65)</f>
        <v>-1</v>
      </c>
      <c r="F83" s="3" cm="1">
        <f t="array" ref="F83">goodness_ratio(F48,F65)</f>
        <v>-1</v>
      </c>
      <c r="G83" s="3" cm="1">
        <f t="array" ref="G83">goodness_ratio(G48,G65)</f>
        <v>-1</v>
      </c>
      <c r="H83" s="3" cm="1">
        <f t="array" ref="H83">goodness_ratio(H48,H65)</f>
        <v>-1</v>
      </c>
      <c r="I83" s="3" cm="1">
        <f t="array" ref="I83">goodness_ratio(I48,I65)</f>
        <v>-1</v>
      </c>
      <c r="J83" s="3" cm="1">
        <f t="array" ref="J83">goodness_ratio(J48,J65)</f>
        <v>-1</v>
      </c>
      <c r="K83" s="3" cm="1">
        <f t="array" ref="K83">goodness_ratio(K48,K65)</f>
        <v>-1</v>
      </c>
      <c r="L83" s="3" cm="1">
        <f t="array" ref="L83">goodness_ratio(L48,L65)</f>
        <v>-1</v>
      </c>
      <c r="M83" s="3" cm="1">
        <f t="array" ref="M83">goodness_ratio(M48,M65)</f>
        <v>-1</v>
      </c>
      <c r="N83" s="3" cm="1">
        <f t="array" ref="N83">goodness_ratio(N48,N65)</f>
        <v>-1</v>
      </c>
    </row>
    <row r="84" spans="1:16" x14ac:dyDescent="0.25">
      <c r="A84" s="2">
        <v>9</v>
      </c>
      <c r="B84" s="3" cm="1">
        <f t="array" ref="B84">goodness_ratio(B49,B66)</f>
        <v>0.48241206030150757</v>
      </c>
      <c r="C84" s="3" cm="1">
        <f t="array" ref="C84">goodness_ratio(C49,C66)</f>
        <v>0</v>
      </c>
      <c r="D84" s="3" cm="1">
        <f t="array" ref="D84">goodness_ratio(D49,D66)</f>
        <v>0</v>
      </c>
      <c r="E84" s="3" cm="1">
        <f t="array" ref="E84">goodness_ratio(E49,E66)</f>
        <v>-1</v>
      </c>
      <c r="F84" s="3" cm="1">
        <f t="array" ref="F84">goodness_ratio(F49,F66)</f>
        <v>-1</v>
      </c>
      <c r="G84" s="3" cm="1">
        <f t="array" ref="G84">goodness_ratio(G49,G66)</f>
        <v>-1</v>
      </c>
      <c r="H84" s="3" cm="1">
        <f t="array" ref="H84">goodness_ratio(H49,H66)</f>
        <v>-1</v>
      </c>
      <c r="I84" s="3" cm="1">
        <f t="array" ref="I84">goodness_ratio(I49,I66)</f>
        <v>-1</v>
      </c>
      <c r="J84" s="3" cm="1">
        <f t="array" ref="J84">goodness_ratio(J49,J66)</f>
        <v>-1</v>
      </c>
      <c r="K84" s="3" cm="1">
        <f t="array" ref="K84">goodness_ratio(K49,K66)</f>
        <v>-1</v>
      </c>
      <c r="L84" s="3" cm="1">
        <f t="array" ref="L84">goodness_ratio(L49,L66)</f>
        <v>-1</v>
      </c>
      <c r="M84" s="3" cm="1">
        <f t="array" ref="M84">goodness_ratio(M49,M66)</f>
        <v>-1</v>
      </c>
      <c r="N84" s="3" cm="1">
        <f t="array" ref="N84">goodness_ratio(N49,N66)</f>
        <v>-1</v>
      </c>
    </row>
    <row r="85" spans="1:16" x14ac:dyDescent="0.25">
      <c r="A85" s="2">
        <v>10</v>
      </c>
      <c r="B85" s="3" cm="1">
        <f t="array" ref="B85">goodness_ratio(B50,B67)</f>
        <v>0.32160804020100509</v>
      </c>
      <c r="C85" s="3" cm="1">
        <f t="array" ref="C85">goodness_ratio(C50,C67)</f>
        <v>0</v>
      </c>
      <c r="D85" s="3" cm="1">
        <f t="array" ref="D85">goodness_ratio(D50,D67)</f>
        <v>-1</v>
      </c>
      <c r="E85" s="3" cm="1">
        <f t="array" ref="E85">goodness_ratio(E50,E67)</f>
        <v>-1</v>
      </c>
      <c r="F85" s="3" cm="1">
        <f t="array" ref="F85">goodness_ratio(F50,F67)</f>
        <v>-1</v>
      </c>
      <c r="G85" s="3" cm="1">
        <f t="array" ref="G85">goodness_ratio(G50,G67)</f>
        <v>-1</v>
      </c>
      <c r="H85" s="3" cm="1">
        <f t="array" ref="H85">goodness_ratio(H50,H67)</f>
        <v>-1</v>
      </c>
      <c r="I85" s="3" cm="1">
        <f t="array" ref="I85">goodness_ratio(I50,I67)</f>
        <v>-1</v>
      </c>
      <c r="J85" s="3" cm="1">
        <f t="array" ref="J85">goodness_ratio(J50,J67)</f>
        <v>-1</v>
      </c>
      <c r="K85" s="3" cm="1">
        <f t="array" ref="K85">goodness_ratio(K50,K67)</f>
        <v>-1</v>
      </c>
      <c r="L85" s="3" cm="1">
        <f t="array" ref="L85">goodness_ratio(L50,L67)</f>
        <v>-1</v>
      </c>
      <c r="M85" s="3" cm="1">
        <f t="array" ref="M85">goodness_ratio(M50,M67)</f>
        <v>-1</v>
      </c>
      <c r="N85" s="3" cm="1">
        <f t="array" ref="N85">goodness_ratio(N50,N67)</f>
        <v>-1</v>
      </c>
    </row>
    <row r="86" spans="1:16" x14ac:dyDescent="0.25">
      <c r="A86" s="2">
        <v>11</v>
      </c>
      <c r="B86" s="3" cm="1">
        <f t="array" ref="B86">goodness_ratio(B51,B68)</f>
        <v>0.32160804020100509</v>
      </c>
      <c r="C86" s="3" cm="1">
        <f t="array" ref="C86">goodness_ratio(C51,C68)</f>
        <v>0</v>
      </c>
      <c r="D86" s="3" cm="1">
        <f t="array" ref="D86">goodness_ratio(D51,D68)</f>
        <v>-1</v>
      </c>
      <c r="E86" s="3" cm="1">
        <f t="array" ref="E86">goodness_ratio(E51,E68)</f>
        <v>-1</v>
      </c>
      <c r="F86" s="3" cm="1">
        <f t="array" ref="F86">goodness_ratio(F51,F68)</f>
        <v>-1</v>
      </c>
      <c r="G86" s="3" cm="1">
        <f t="array" ref="G86">goodness_ratio(G51,G68)</f>
        <v>-1</v>
      </c>
      <c r="H86" s="3" cm="1">
        <f t="array" ref="H86">goodness_ratio(H51,H68)</f>
        <v>-1</v>
      </c>
      <c r="I86" s="3" cm="1">
        <f t="array" ref="I86">goodness_ratio(I51,I68)</f>
        <v>-1</v>
      </c>
      <c r="J86" s="3" cm="1">
        <f t="array" ref="J86">goodness_ratio(J51,J68)</f>
        <v>-1</v>
      </c>
      <c r="K86" s="3" cm="1">
        <f t="array" ref="K86">goodness_ratio(K51,K68)</f>
        <v>-1</v>
      </c>
      <c r="L86" s="3" cm="1">
        <f t="array" ref="L86">goodness_ratio(L51,L68)</f>
        <v>-1</v>
      </c>
      <c r="M86" s="3" cm="1">
        <f t="array" ref="M86">goodness_ratio(M51,M68)</f>
        <v>-1</v>
      </c>
      <c r="N86" s="3" cm="1">
        <f t="array" ref="N86">goodness_ratio(N51,N68)</f>
        <v>-1</v>
      </c>
    </row>
    <row r="87" spans="1:16" x14ac:dyDescent="0.25">
      <c r="A87" s="2">
        <v>12</v>
      </c>
      <c r="B87" s="3" cm="1">
        <f t="array" ref="B87">goodness_ratio(B52,B69)</f>
        <v>0.48241206030150757</v>
      </c>
      <c r="C87" s="3" cm="1">
        <f t="array" ref="C87">goodness_ratio(C52,C69)</f>
        <v>0</v>
      </c>
      <c r="D87" s="3" cm="1">
        <f t="array" ref="D87">goodness_ratio(D52,D69)</f>
        <v>-1</v>
      </c>
      <c r="E87" s="3" cm="1">
        <f t="array" ref="E87">goodness_ratio(E52,E69)</f>
        <v>-1</v>
      </c>
      <c r="F87" s="3" cm="1">
        <f t="array" ref="F87">goodness_ratio(F52,F69)</f>
        <v>-1</v>
      </c>
      <c r="G87" s="3" cm="1">
        <f t="array" ref="G87">goodness_ratio(G52,G69)</f>
        <v>-1</v>
      </c>
      <c r="H87" s="3" cm="1">
        <f t="array" ref="H87">goodness_ratio(H52,H69)</f>
        <v>-1</v>
      </c>
      <c r="I87" s="3" cm="1">
        <f t="array" ref="I87">goodness_ratio(I52,I69)</f>
        <v>-1</v>
      </c>
      <c r="J87" s="3" cm="1">
        <f t="array" ref="J87">goodness_ratio(J52,J69)</f>
        <v>-1</v>
      </c>
      <c r="K87" s="3" cm="1">
        <f t="array" ref="K87">goodness_ratio(K52,K69)</f>
        <v>-1</v>
      </c>
      <c r="L87" s="3" cm="1">
        <f t="array" ref="L87">goodness_ratio(L52,L69)</f>
        <v>-1</v>
      </c>
      <c r="M87" s="3" cm="1">
        <f t="array" ref="M87">goodness_ratio(M52,M69)</f>
        <v>-1</v>
      </c>
      <c r="N87" s="3" cm="1">
        <f t="array" ref="N87">goodness_ratio(N52,N69)</f>
        <v>-1</v>
      </c>
    </row>
    <row r="88" spans="1:16" x14ac:dyDescent="0.25">
      <c r="A88" s="2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90" spans="1:16" x14ac:dyDescent="0.25">
      <c r="A90" s="2" t="s">
        <v>1</v>
      </c>
    </row>
    <row r="91" spans="1:16" x14ac:dyDescent="0.25">
      <c r="B91" s="2" t="s">
        <v>29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</row>
    <row r="92" spans="1:16" x14ac:dyDescent="0.25">
      <c r="A92" s="2" t="s">
        <v>27</v>
      </c>
      <c r="B92" s="2">
        <v>0.5</v>
      </c>
      <c r="C92" s="2">
        <f>B92+0.5</f>
        <v>1</v>
      </c>
      <c r="D92" s="2">
        <f t="shared" ref="D92:I92" si="5">C92+0.5</f>
        <v>1.5</v>
      </c>
      <c r="E92" s="2">
        <f t="shared" si="5"/>
        <v>2</v>
      </c>
      <c r="F92" s="2">
        <f t="shared" si="5"/>
        <v>2.5</v>
      </c>
      <c r="G92" s="2">
        <f t="shared" si="5"/>
        <v>3</v>
      </c>
      <c r="H92" s="2">
        <f t="shared" si="5"/>
        <v>3.5</v>
      </c>
      <c r="I92" s="2">
        <f t="shared" si="5"/>
        <v>4</v>
      </c>
      <c r="J92" s="2">
        <f>I92+0.5</f>
        <v>4.5</v>
      </c>
      <c r="K92" s="2">
        <f t="shared" ref="K92:N92" si="6">J92+0.5</f>
        <v>5</v>
      </c>
      <c r="L92" s="2">
        <f t="shared" si="6"/>
        <v>5.5</v>
      </c>
      <c r="M92" s="2">
        <f t="shared" si="6"/>
        <v>6</v>
      </c>
      <c r="N92" s="2">
        <f t="shared" si="6"/>
        <v>6.5</v>
      </c>
    </row>
    <row r="93" spans="1:16" x14ac:dyDescent="0.25">
      <c r="A93" s="2">
        <v>1</v>
      </c>
      <c r="B93" s="4" cm="1">
        <f t="array" ref="B93">lifetime_cost($D$4,$D$5,B$40,$A93,$D$10,$D$11,$D$9,$D$17,$D$26,$D$25)</f>
        <v>21.654399999999999</v>
      </c>
      <c r="C93" s="4" cm="1">
        <f t="array" ref="C93">lifetime_cost($D$4,$D$5,C$40,$A93,$D$10,$D$11,$D$9,$D$17,$D$26,$D$25)</f>
        <v>37.895200000000003</v>
      </c>
      <c r="D93" s="4" cm="1">
        <f t="array" ref="D93">lifetime_cost($D$4,$D$5,D$40,$A93,$D$10,$D$11,$D$9,$D$17,$D$26,$D$25)</f>
        <v>54.136000000000003</v>
      </c>
      <c r="E93" s="4" cm="1">
        <f t="array" ref="E93">lifetime_cost($D$4,$D$5,E$40,$A93,$D$10,$D$11,$D$9,$D$17,$D$26,$D$25)</f>
        <v>70.376800000000003</v>
      </c>
      <c r="F93" s="4" cm="1">
        <f t="array" ref="F93">lifetime_cost($D$4,$D$5,F$40,$A93,$D$10,$D$11,$D$9,$D$17,$D$26,$D$25)</f>
        <v>70.376800000000003</v>
      </c>
      <c r="G93" s="4" cm="1">
        <f t="array" ref="G93">lifetime_cost($D$4,$D$5,G$40,$A93,$D$10,$D$11,$D$9,$D$17,$D$26,$D$25)</f>
        <v>92.031199999999998</v>
      </c>
      <c r="H93" s="4" cm="1">
        <f t="array" ref="H93">lifetime_cost($D$4,$D$5,H$40,$A93,$D$10,$D$11,$D$9,$D$17,$D$26,$D$25)</f>
        <v>92.031199999999998</v>
      </c>
      <c r="I93" s="4" cm="1">
        <f t="array" ref="I93">lifetime_cost($D$4,$D$5,I$40,$A93,$D$10,$D$11,$D$9,$D$17,$D$26,$D$25)</f>
        <v>119.0992</v>
      </c>
      <c r="J93" s="4" cm="1">
        <f t="array" ref="J93">lifetime_cost($D$4,$D$5,J$40,$A93,$D$10,$D$11,$D$9,$D$17,$D$26,$D$25)</f>
        <v>146.16720000000001</v>
      </c>
      <c r="K93" s="4" cm="1">
        <f t="array" ref="K93">lifetime_cost($D$4,$D$5,K$40,$A93,$D$10,$D$11,$D$9,$D$17,$D$26,$D$25)</f>
        <v>92.031199999999998</v>
      </c>
      <c r="L93" s="4" cm="1">
        <f t="array" ref="L93">lifetime_cost($D$4,$D$5,L$40,$A93,$D$10,$D$11,$D$9,$D$17,$D$26,$D$25)</f>
        <v>108.27200000000001</v>
      </c>
      <c r="M93" s="4" cm="1">
        <f t="array" ref="M93">lifetime_cost($D$4,$D$5,M$40,$A93,$D$10,$D$11,$D$9,$D$17,$D$26,$D$25)</f>
        <v>129.9264</v>
      </c>
      <c r="N93" s="4" cm="1">
        <f t="array" ref="N93">lifetime_cost($D$4,$D$5,N$40,$A93,$D$10,$D$11,$D$9,$D$17,$D$26,$D$25)</f>
        <v>151.58080000000001</v>
      </c>
    </row>
    <row r="94" spans="1:16" x14ac:dyDescent="0.25">
      <c r="A94" s="2">
        <v>2</v>
      </c>
      <c r="B94" s="4" cm="1">
        <f t="array" ref="B94">lifetime_cost($D$4,$D$5,B$40,$A94,$D$10,$D$11,$D$9,$D$17,$D$26,$D$25)</f>
        <v>21.654399999999999</v>
      </c>
      <c r="C94" s="4" cm="1">
        <f t="array" ref="C94">lifetime_cost($D$4,$D$5,C$40,$A94,$D$10,$D$11,$D$9,$D$17,$D$26,$D$25)</f>
        <v>37.895200000000003</v>
      </c>
      <c r="D94" s="4" cm="1">
        <f t="array" ref="D94">lifetime_cost($D$4,$D$5,D$40,$A94,$D$10,$D$11,$D$9,$D$17,$D$26,$D$25)</f>
        <v>48.7224</v>
      </c>
      <c r="E94" s="4" cm="1">
        <f t="array" ref="E94">lifetime_cost($D$4,$D$5,E$40,$A94,$D$10,$D$11,$D$9,$D$17,$D$26,$D$25)</f>
        <v>59.549599999999998</v>
      </c>
      <c r="F94" s="4" cm="1">
        <f t="array" ref="F94">lifetime_cost($D$4,$D$5,F$40,$A94,$D$10,$D$11,$D$9,$D$17,$D$26,$D$25)</f>
        <v>48.7224</v>
      </c>
      <c r="G94" s="4" cm="1">
        <f t="array" ref="G94">lifetime_cost($D$4,$D$5,G$40,$A94,$D$10,$D$11,$D$9,$D$17,$D$26,$D$25)</f>
        <v>64.963200000000001</v>
      </c>
      <c r="H94" s="4" cm="1">
        <f t="array" ref="H94">lifetime_cost($D$4,$D$5,H$40,$A94,$D$10,$D$11,$D$9,$D$17,$D$26,$D$25)</f>
        <v>92.031199999999998</v>
      </c>
      <c r="I94" s="4" cm="1">
        <f t="array" ref="I94">lifetime_cost($D$4,$D$5,I$40,$A94,$D$10,$D$11,$D$9,$D$17,$D$26,$D$25)</f>
        <v>113.68559999999999</v>
      </c>
      <c r="J94" s="4" cm="1">
        <f t="array" ref="J94">lifetime_cost($D$4,$D$5,J$40,$A94,$D$10,$D$11,$D$9,$D$17,$D$26,$D$25)</f>
        <v>146.16720000000001</v>
      </c>
      <c r="K94" s="4" cm="1">
        <f t="array" ref="K94">lifetime_cost($D$4,$D$5,K$40,$A94,$D$10,$D$11,$D$9,$D$17,$D$26,$D$25)</f>
        <v>0</v>
      </c>
      <c r="L94" s="4" cm="1">
        <f t="array" ref="L94">lifetime_cost($D$4,$D$5,L$40,$A94,$D$10,$D$11,$D$9,$D$17,$D$26,$D$25)</f>
        <v>0</v>
      </c>
      <c r="M94" s="4" cm="1">
        <f t="array" ref="M94">lifetime_cost($D$4,$D$5,M$40,$A94,$D$10,$D$11,$D$9,$D$17,$D$26,$D$25)</f>
        <v>0</v>
      </c>
      <c r="N94" s="4" cm="1">
        <f t="array" ref="N94">lifetime_cost($D$4,$D$5,N$40,$A94,$D$10,$D$11,$D$9,$D$17,$D$26,$D$25)</f>
        <v>0</v>
      </c>
    </row>
    <row r="95" spans="1:16" x14ac:dyDescent="0.25">
      <c r="A95" s="2">
        <v>3</v>
      </c>
      <c r="B95" s="4" cm="1">
        <f t="array" ref="B95">lifetime_cost($D$4,$D$5,B$40,$A95,$D$10,$D$11,$D$9,$D$17,$D$26,$D$25)</f>
        <v>21.654399999999999</v>
      </c>
      <c r="C95" s="4" cm="1">
        <f t="array" ref="C95">lifetime_cost($D$4,$D$5,C$40,$A95,$D$10,$D$11,$D$9,$D$17,$D$26,$D$25)</f>
        <v>32.4816</v>
      </c>
      <c r="D95" s="4" cm="1">
        <f t="array" ref="D95">lifetime_cost($D$4,$D$5,D$40,$A95,$D$10,$D$11,$D$9,$D$17,$D$26,$D$25)</f>
        <v>48.7224</v>
      </c>
      <c r="E95" s="4" cm="1">
        <f t="array" ref="E95">lifetime_cost($D$4,$D$5,E$40,$A95,$D$10,$D$11,$D$9,$D$17,$D$26,$D$25)</f>
        <v>43.308799999999998</v>
      </c>
      <c r="F95" s="4" cm="1">
        <f t="array" ref="F95">lifetime_cost($D$4,$D$5,F$40,$A95,$D$10,$D$11,$D$9,$D$17,$D$26,$D$25)</f>
        <v>70.376800000000003</v>
      </c>
      <c r="G95" s="4" cm="1">
        <f t="array" ref="G95">lifetime_cost($D$4,$D$5,G$40,$A95,$D$10,$D$11,$D$9,$D$17,$D$26,$D$25)</f>
        <v>97.444800000000001</v>
      </c>
      <c r="H95" s="4" cm="1">
        <f t="array" ref="H95">lifetime_cost($D$4,$D$5,H$40,$A95,$D$10,$D$11,$D$9,$D$17,$D$26,$D$25)</f>
        <v>0</v>
      </c>
      <c r="I95" s="4" cm="1">
        <f t="array" ref="I95">lifetime_cost($D$4,$D$5,I$40,$A95,$D$10,$D$11,$D$9,$D$17,$D$26,$D$25)</f>
        <v>0</v>
      </c>
      <c r="J95" s="4" cm="1">
        <f t="array" ref="J95">lifetime_cost($D$4,$D$5,J$40,$A95,$D$10,$D$11,$D$9,$D$17,$D$26,$D$25)</f>
        <v>0</v>
      </c>
      <c r="K95" s="4" cm="1">
        <f t="array" ref="K95">lifetime_cost($D$4,$D$5,K$40,$A95,$D$10,$D$11,$D$9,$D$17,$D$26,$D$25)</f>
        <v>0</v>
      </c>
      <c r="L95" s="4" cm="1">
        <f t="array" ref="L95">lifetime_cost($D$4,$D$5,L$40,$A95,$D$10,$D$11,$D$9,$D$17,$D$26,$D$25)</f>
        <v>0</v>
      </c>
      <c r="M95" s="4" cm="1">
        <f t="array" ref="M95">lifetime_cost($D$4,$D$5,M$40,$A95,$D$10,$D$11,$D$9,$D$17,$D$26,$D$25)</f>
        <v>0</v>
      </c>
      <c r="N95" s="4" cm="1">
        <f t="array" ref="N95">lifetime_cost($D$4,$D$5,N$40,$A95,$D$10,$D$11,$D$9,$D$17,$D$26,$D$25)</f>
        <v>0</v>
      </c>
    </row>
    <row r="96" spans="1:16" x14ac:dyDescent="0.25">
      <c r="A96" s="2">
        <v>4</v>
      </c>
      <c r="B96" s="4" cm="1">
        <f t="array" ref="B96">lifetime_cost($D$4,$D$5,B$40,$A96,$D$10,$D$11,$D$9,$D$17,$D$26,$D$25)</f>
        <v>21.654399999999999</v>
      </c>
      <c r="C96" s="4" cm="1">
        <f t="array" ref="C96">lifetime_cost($D$4,$D$5,C$40,$A96,$D$10,$D$11,$D$9,$D$17,$D$26,$D$25)</f>
        <v>32.4816</v>
      </c>
      <c r="D96" s="4" cm="1">
        <f t="array" ref="D96">lifetime_cost($D$4,$D$5,D$40,$A96,$D$10,$D$11,$D$9,$D$17,$D$26,$D$25)</f>
        <v>32.4816</v>
      </c>
      <c r="E96" s="4" cm="1">
        <f t="array" ref="E96">lifetime_cost($D$4,$D$5,E$40,$A96,$D$10,$D$11,$D$9,$D$17,$D$26,$D$25)</f>
        <v>59.549599999999998</v>
      </c>
      <c r="F96" s="4" cm="1">
        <f t="array" ref="F96">lifetime_cost($D$4,$D$5,F$40,$A96,$D$10,$D$11,$D$9,$D$17,$D$26,$D$25)</f>
        <v>0</v>
      </c>
      <c r="G96" s="4" cm="1">
        <f t="array" ref="G96">lifetime_cost($D$4,$D$5,G$40,$A96,$D$10,$D$11,$D$9,$D$17,$D$26,$D$25)</f>
        <v>0</v>
      </c>
      <c r="H96" s="4" cm="1">
        <f t="array" ref="H96">lifetime_cost($D$4,$D$5,H$40,$A96,$D$10,$D$11,$D$9,$D$17,$D$26,$D$25)</f>
        <v>0</v>
      </c>
      <c r="I96" s="4" cm="1">
        <f t="array" ref="I96">lifetime_cost($D$4,$D$5,I$40,$A96,$D$10,$D$11,$D$9,$D$17,$D$26,$D$25)</f>
        <v>0</v>
      </c>
      <c r="J96" s="4" cm="1">
        <f t="array" ref="J96">lifetime_cost($D$4,$D$5,J$40,$A96,$D$10,$D$11,$D$9,$D$17,$D$26,$D$25)</f>
        <v>0</v>
      </c>
      <c r="K96" s="4" cm="1">
        <f t="array" ref="K96">lifetime_cost($D$4,$D$5,K$40,$A96,$D$10,$D$11,$D$9,$D$17,$D$26,$D$25)</f>
        <v>0</v>
      </c>
      <c r="L96" s="4" cm="1">
        <f t="array" ref="L96">lifetime_cost($D$4,$D$5,L$40,$A96,$D$10,$D$11,$D$9,$D$17,$D$26,$D$25)</f>
        <v>0</v>
      </c>
      <c r="M96" s="4" cm="1">
        <f t="array" ref="M96">lifetime_cost($D$4,$D$5,M$40,$A96,$D$10,$D$11,$D$9,$D$17,$D$26,$D$25)</f>
        <v>0</v>
      </c>
      <c r="N96" s="4" cm="1">
        <f t="array" ref="N96">lifetime_cost($D$4,$D$5,N$40,$A96,$D$10,$D$11,$D$9,$D$17,$D$26,$D$25)</f>
        <v>0</v>
      </c>
    </row>
    <row r="97" spans="1:14" x14ac:dyDescent="0.25">
      <c r="A97" s="2">
        <v>5</v>
      </c>
      <c r="B97" s="4" cm="1">
        <f t="array" ref="B97">lifetime_cost($D$4,$D$5,B$40,$A97,$D$10,$D$11,$D$9,$D$17,$D$26,$D$25)</f>
        <v>16.2408</v>
      </c>
      <c r="C97" s="4" cm="1">
        <f t="array" ref="C97">lifetime_cost($D$4,$D$5,C$40,$A97,$D$10,$D$11,$D$9,$D$17,$D$26,$D$25)</f>
        <v>21.654399999999999</v>
      </c>
      <c r="D97" s="4" cm="1">
        <f t="array" ref="D97">lifetime_cost($D$4,$D$5,D$40,$A97,$D$10,$D$11,$D$9,$D$17,$D$26,$D$25)</f>
        <v>43.308799999999998</v>
      </c>
      <c r="E97" s="4" cm="1">
        <f t="array" ref="E97">lifetime_cost($D$4,$D$5,E$40,$A97,$D$10,$D$11,$D$9,$D$17,$D$26,$D$25)</f>
        <v>0</v>
      </c>
      <c r="F97" s="4" cm="1">
        <f t="array" ref="F97">lifetime_cost($D$4,$D$5,F$40,$A97,$D$10,$D$11,$D$9,$D$17,$D$26,$D$25)</f>
        <v>0</v>
      </c>
      <c r="G97" s="4" cm="1">
        <f t="array" ref="G97">lifetime_cost($D$4,$D$5,G$40,$A97,$D$10,$D$11,$D$9,$D$17,$D$26,$D$25)</f>
        <v>0</v>
      </c>
      <c r="H97" s="4" cm="1">
        <f t="array" ref="H97">lifetime_cost($D$4,$D$5,H$40,$A97,$D$10,$D$11,$D$9,$D$17,$D$26,$D$25)</f>
        <v>0</v>
      </c>
      <c r="I97" s="4" cm="1">
        <f t="array" ref="I97">lifetime_cost($D$4,$D$5,I$40,$A97,$D$10,$D$11,$D$9,$D$17,$D$26,$D$25)</f>
        <v>0</v>
      </c>
      <c r="J97" s="4" cm="1">
        <f t="array" ref="J97">lifetime_cost($D$4,$D$5,J$40,$A97,$D$10,$D$11,$D$9,$D$17,$D$26,$D$25)</f>
        <v>0</v>
      </c>
      <c r="K97" s="4" cm="1">
        <f t="array" ref="K97">lifetime_cost($D$4,$D$5,K$40,$A97,$D$10,$D$11,$D$9,$D$17,$D$26,$D$25)</f>
        <v>0</v>
      </c>
      <c r="L97" s="4" cm="1">
        <f t="array" ref="L97">lifetime_cost($D$4,$D$5,L$40,$A97,$D$10,$D$11,$D$9,$D$17,$D$26,$D$25)</f>
        <v>0</v>
      </c>
      <c r="M97" s="4" cm="1">
        <f t="array" ref="M97">lifetime_cost($D$4,$D$5,M$40,$A97,$D$10,$D$11,$D$9,$D$17,$D$26,$D$25)</f>
        <v>0</v>
      </c>
      <c r="N97" s="4" cm="1">
        <f t="array" ref="N97">lifetime_cost($D$4,$D$5,N$40,$A97,$D$10,$D$11,$D$9,$D$17,$D$26,$D$25)</f>
        <v>0</v>
      </c>
    </row>
    <row r="98" spans="1:14" x14ac:dyDescent="0.25">
      <c r="A98" s="2">
        <v>6</v>
      </c>
      <c r="B98" s="4" cm="1">
        <f t="array" ref="B98">lifetime_cost($D$4,$D$5,B$40,$A98,$D$10,$D$11,$D$9,$D$17,$D$26,$D$25)</f>
        <v>16.2408</v>
      </c>
      <c r="C98" s="4" cm="1">
        <f t="array" ref="C98">lifetime_cost($D$4,$D$5,C$40,$A98,$D$10,$D$11,$D$9,$D$17,$D$26,$D$25)</f>
        <v>21.654399999999999</v>
      </c>
      <c r="D98" s="4" cm="1">
        <f t="array" ref="D98">lifetime_cost($D$4,$D$5,D$40,$A98,$D$10,$D$11,$D$9,$D$17,$D$26,$D$25)</f>
        <v>48.7224</v>
      </c>
      <c r="E98" s="4" cm="1">
        <f t="array" ref="E98">lifetime_cost($D$4,$D$5,E$40,$A98,$D$10,$D$11,$D$9,$D$17,$D$26,$D$25)</f>
        <v>0</v>
      </c>
      <c r="F98" s="4" cm="1">
        <f t="array" ref="F98">lifetime_cost($D$4,$D$5,F$40,$A98,$D$10,$D$11,$D$9,$D$17,$D$26,$D$25)</f>
        <v>0</v>
      </c>
      <c r="G98" s="4" cm="1">
        <f t="array" ref="G98">lifetime_cost($D$4,$D$5,G$40,$A98,$D$10,$D$11,$D$9,$D$17,$D$26,$D$25)</f>
        <v>0</v>
      </c>
      <c r="H98" s="4" cm="1">
        <f t="array" ref="H98">lifetime_cost($D$4,$D$5,H$40,$A98,$D$10,$D$11,$D$9,$D$17,$D$26,$D$25)</f>
        <v>0</v>
      </c>
      <c r="I98" s="4" cm="1">
        <f t="array" ref="I98">lifetime_cost($D$4,$D$5,I$40,$A98,$D$10,$D$11,$D$9,$D$17,$D$26,$D$25)</f>
        <v>0</v>
      </c>
      <c r="J98" s="4" cm="1">
        <f t="array" ref="J98">lifetime_cost($D$4,$D$5,J$40,$A98,$D$10,$D$11,$D$9,$D$17,$D$26,$D$25)</f>
        <v>0</v>
      </c>
      <c r="K98" s="4" cm="1">
        <f t="array" ref="K98">lifetime_cost($D$4,$D$5,K$40,$A98,$D$10,$D$11,$D$9,$D$17,$D$26,$D$25)</f>
        <v>0</v>
      </c>
      <c r="L98" s="4" cm="1">
        <f t="array" ref="L98">lifetime_cost($D$4,$D$5,L$40,$A98,$D$10,$D$11,$D$9,$D$17,$D$26,$D$25)</f>
        <v>0</v>
      </c>
      <c r="M98" s="4" cm="1">
        <f t="array" ref="M98">lifetime_cost($D$4,$D$5,M$40,$A98,$D$10,$D$11,$D$9,$D$17,$D$26,$D$25)</f>
        <v>0</v>
      </c>
      <c r="N98" s="4" cm="1">
        <f t="array" ref="N98">lifetime_cost($D$4,$D$5,N$40,$A98,$D$10,$D$11,$D$9,$D$17,$D$26,$D$25)</f>
        <v>0</v>
      </c>
    </row>
    <row r="99" spans="1:14" x14ac:dyDescent="0.25">
      <c r="A99" s="2">
        <v>7</v>
      </c>
      <c r="B99" s="4" cm="1">
        <f t="array" ref="B99">lifetime_cost($D$4,$D$5,B$40,$A99,$D$10,$D$11,$D$9,$D$17,$D$26,$D$25)</f>
        <v>16.2408</v>
      </c>
      <c r="C99" s="4" cm="1">
        <f t="array" ref="C99">lifetime_cost($D$4,$D$5,C$40,$A99,$D$10,$D$11,$D$9,$D$17,$D$26,$D$25)</f>
        <v>27.068000000000001</v>
      </c>
      <c r="D99" s="4" cm="1">
        <f t="array" ref="D99">lifetime_cost($D$4,$D$5,D$40,$A99,$D$10,$D$11,$D$9,$D$17,$D$26,$D$25)</f>
        <v>0</v>
      </c>
      <c r="E99" s="4" cm="1">
        <f t="array" ref="E99">lifetime_cost($D$4,$D$5,E$40,$A99,$D$10,$D$11,$D$9,$D$17,$D$26,$D$25)</f>
        <v>0</v>
      </c>
      <c r="F99" s="4" cm="1">
        <f t="array" ref="F99">lifetime_cost($D$4,$D$5,F$40,$A99,$D$10,$D$11,$D$9,$D$17,$D$26,$D$25)</f>
        <v>0</v>
      </c>
      <c r="G99" s="4" cm="1">
        <f t="array" ref="G99">lifetime_cost($D$4,$D$5,G$40,$A99,$D$10,$D$11,$D$9,$D$17,$D$26,$D$25)</f>
        <v>0</v>
      </c>
      <c r="H99" s="4" cm="1">
        <f t="array" ref="H99">lifetime_cost($D$4,$D$5,H$40,$A99,$D$10,$D$11,$D$9,$D$17,$D$26,$D$25)</f>
        <v>0</v>
      </c>
      <c r="I99" s="4" cm="1">
        <f t="array" ref="I99">lifetime_cost($D$4,$D$5,I$40,$A99,$D$10,$D$11,$D$9,$D$17,$D$26,$D$25)</f>
        <v>0</v>
      </c>
      <c r="J99" s="4" cm="1">
        <f t="array" ref="J99">lifetime_cost($D$4,$D$5,J$40,$A99,$D$10,$D$11,$D$9,$D$17,$D$26,$D$25)</f>
        <v>0</v>
      </c>
      <c r="K99" s="4" cm="1">
        <f t="array" ref="K99">lifetime_cost($D$4,$D$5,K$40,$A99,$D$10,$D$11,$D$9,$D$17,$D$26,$D$25)</f>
        <v>0</v>
      </c>
      <c r="L99" s="4" cm="1">
        <f t="array" ref="L99">lifetime_cost($D$4,$D$5,L$40,$A99,$D$10,$D$11,$D$9,$D$17,$D$26,$D$25)</f>
        <v>0</v>
      </c>
      <c r="M99" s="4" cm="1">
        <f t="array" ref="M99">lifetime_cost($D$4,$D$5,M$40,$A99,$D$10,$D$11,$D$9,$D$17,$D$26,$D$25)</f>
        <v>0</v>
      </c>
      <c r="N99" s="4" cm="1">
        <f t="array" ref="N99">lifetime_cost($D$4,$D$5,N$40,$A99,$D$10,$D$11,$D$9,$D$17,$D$26,$D$25)</f>
        <v>0</v>
      </c>
    </row>
    <row r="100" spans="1:14" x14ac:dyDescent="0.25">
      <c r="A100" s="2">
        <v>8</v>
      </c>
      <c r="B100" s="4" cm="1">
        <f t="array" ref="B100">lifetime_cost($D$4,$D$5,B$40,$A100,$D$10,$D$11,$D$9,$D$17,$D$26,$D$25)</f>
        <v>16.2408</v>
      </c>
      <c r="C100" s="4" cm="1">
        <f t="array" ref="C100">lifetime_cost($D$4,$D$5,C$40,$A100,$D$10,$D$11,$D$9,$D$17,$D$26,$D$25)</f>
        <v>32.4816</v>
      </c>
      <c r="D100" s="4" cm="1">
        <f t="array" ref="D100">lifetime_cost($D$4,$D$5,D$40,$A100,$D$10,$D$11,$D$9,$D$17,$D$26,$D$25)</f>
        <v>0</v>
      </c>
      <c r="E100" s="4" cm="1">
        <f t="array" ref="E100">lifetime_cost($D$4,$D$5,E$40,$A100,$D$10,$D$11,$D$9,$D$17,$D$26,$D$25)</f>
        <v>0</v>
      </c>
      <c r="F100" s="4" cm="1">
        <f t="array" ref="F100">lifetime_cost($D$4,$D$5,F$40,$A100,$D$10,$D$11,$D$9,$D$17,$D$26,$D$25)</f>
        <v>0</v>
      </c>
      <c r="G100" s="4" cm="1">
        <f t="array" ref="G100">lifetime_cost($D$4,$D$5,G$40,$A100,$D$10,$D$11,$D$9,$D$17,$D$26,$D$25)</f>
        <v>0</v>
      </c>
      <c r="H100" s="4" cm="1">
        <f t="array" ref="H100">lifetime_cost($D$4,$D$5,H$40,$A100,$D$10,$D$11,$D$9,$D$17,$D$26,$D$25)</f>
        <v>0</v>
      </c>
      <c r="I100" s="4" cm="1">
        <f t="array" ref="I100">lifetime_cost($D$4,$D$5,I$40,$A100,$D$10,$D$11,$D$9,$D$17,$D$26,$D$25)</f>
        <v>0</v>
      </c>
      <c r="J100" s="4" cm="1">
        <f t="array" ref="J100">lifetime_cost($D$4,$D$5,J$40,$A100,$D$10,$D$11,$D$9,$D$17,$D$26,$D$25)</f>
        <v>0</v>
      </c>
      <c r="K100" s="4" cm="1">
        <f t="array" ref="K100">lifetime_cost($D$4,$D$5,K$40,$A100,$D$10,$D$11,$D$9,$D$17,$D$26,$D$25)</f>
        <v>0</v>
      </c>
      <c r="L100" s="4" cm="1">
        <f t="array" ref="L100">lifetime_cost($D$4,$D$5,L$40,$A100,$D$10,$D$11,$D$9,$D$17,$D$26,$D$25)</f>
        <v>0</v>
      </c>
      <c r="M100" s="4" cm="1">
        <f t="array" ref="M100">lifetime_cost($D$4,$D$5,M$40,$A100,$D$10,$D$11,$D$9,$D$17,$D$26,$D$25)</f>
        <v>0</v>
      </c>
      <c r="N100" s="4" cm="1">
        <f t="array" ref="N100">lifetime_cost($D$4,$D$5,N$40,$A100,$D$10,$D$11,$D$9,$D$17,$D$26,$D$25)</f>
        <v>0</v>
      </c>
    </row>
    <row r="101" spans="1:14" x14ac:dyDescent="0.25">
      <c r="A101" s="2">
        <v>9</v>
      </c>
      <c r="B101" s="4" cm="1">
        <f t="array" ref="B101">lifetime_cost($D$4,$D$5,B$40,$A101,$D$10,$D$11,$D$9,$D$17,$D$26,$D$25)</f>
        <v>16.2408</v>
      </c>
      <c r="C101" s="4" cm="1">
        <f t="array" ref="C101">lifetime_cost($D$4,$D$5,C$40,$A101,$D$10,$D$11,$D$9,$D$17,$D$26,$D$25)</f>
        <v>32.4816</v>
      </c>
      <c r="D101" s="4" cm="1">
        <f t="array" ref="D101">lifetime_cost($D$4,$D$5,D$40,$A101,$D$10,$D$11,$D$9,$D$17,$D$26,$D$25)</f>
        <v>0</v>
      </c>
      <c r="E101" s="4" cm="1">
        <f t="array" ref="E101">lifetime_cost($D$4,$D$5,E$40,$A101,$D$10,$D$11,$D$9,$D$17,$D$26,$D$25)</f>
        <v>0</v>
      </c>
      <c r="F101" s="4" cm="1">
        <f t="array" ref="F101">lifetime_cost($D$4,$D$5,F$40,$A101,$D$10,$D$11,$D$9,$D$17,$D$26,$D$25)</f>
        <v>0</v>
      </c>
      <c r="G101" s="4" cm="1">
        <f t="array" ref="G101">lifetime_cost($D$4,$D$5,G$40,$A101,$D$10,$D$11,$D$9,$D$17,$D$26,$D$25)</f>
        <v>0</v>
      </c>
      <c r="H101" s="4" cm="1">
        <f t="array" ref="H101">lifetime_cost($D$4,$D$5,H$40,$A101,$D$10,$D$11,$D$9,$D$17,$D$26,$D$25)</f>
        <v>0</v>
      </c>
      <c r="I101" s="4" cm="1">
        <f t="array" ref="I101">lifetime_cost($D$4,$D$5,I$40,$A101,$D$10,$D$11,$D$9,$D$17,$D$26,$D$25)</f>
        <v>0</v>
      </c>
      <c r="J101" s="4" cm="1">
        <f t="array" ref="J101">lifetime_cost($D$4,$D$5,J$40,$A101,$D$10,$D$11,$D$9,$D$17,$D$26,$D$25)</f>
        <v>0</v>
      </c>
      <c r="K101" s="4" cm="1">
        <f t="array" ref="K101">lifetime_cost($D$4,$D$5,K$40,$A101,$D$10,$D$11,$D$9,$D$17,$D$26,$D$25)</f>
        <v>0</v>
      </c>
      <c r="L101" s="4" cm="1">
        <f t="array" ref="L101">lifetime_cost($D$4,$D$5,L$40,$A101,$D$10,$D$11,$D$9,$D$17,$D$26,$D$25)</f>
        <v>0</v>
      </c>
      <c r="M101" s="4" cm="1">
        <f t="array" ref="M101">lifetime_cost($D$4,$D$5,M$40,$A101,$D$10,$D$11,$D$9,$D$17,$D$26,$D$25)</f>
        <v>0</v>
      </c>
      <c r="N101" s="4" cm="1">
        <f t="array" ref="N101">lifetime_cost($D$4,$D$5,N$40,$A101,$D$10,$D$11,$D$9,$D$17,$D$26,$D$25)</f>
        <v>0</v>
      </c>
    </row>
    <row r="102" spans="1:14" x14ac:dyDescent="0.25">
      <c r="A102" s="2">
        <v>10</v>
      </c>
      <c r="B102" s="4" cm="1">
        <f t="array" ref="B102">lifetime_cost($D$4,$D$5,B$40,$A102,$D$10,$D$11,$D$9,$D$17,$D$26,$D$25)</f>
        <v>10.827199999999999</v>
      </c>
      <c r="C102" s="4" cm="1">
        <f t="array" ref="C102">lifetime_cost($D$4,$D$5,C$40,$A102,$D$10,$D$11,$D$9,$D$17,$D$26,$D$25)</f>
        <v>0</v>
      </c>
      <c r="D102" s="4" cm="1">
        <f t="array" ref="D102">lifetime_cost($D$4,$D$5,D$40,$A102,$D$10,$D$11,$D$9,$D$17,$D$26,$D$25)</f>
        <v>0</v>
      </c>
      <c r="E102" s="4" cm="1">
        <f t="array" ref="E102">lifetime_cost($D$4,$D$5,E$40,$A102,$D$10,$D$11,$D$9,$D$17,$D$26,$D$25)</f>
        <v>0</v>
      </c>
      <c r="F102" s="4" cm="1">
        <f t="array" ref="F102">lifetime_cost($D$4,$D$5,F$40,$A102,$D$10,$D$11,$D$9,$D$17,$D$26,$D$25)</f>
        <v>0</v>
      </c>
      <c r="G102" s="4" cm="1">
        <f t="array" ref="G102">lifetime_cost($D$4,$D$5,G$40,$A102,$D$10,$D$11,$D$9,$D$17,$D$26,$D$25)</f>
        <v>0</v>
      </c>
      <c r="H102" s="4" cm="1">
        <f t="array" ref="H102">lifetime_cost($D$4,$D$5,H$40,$A102,$D$10,$D$11,$D$9,$D$17,$D$26,$D$25)</f>
        <v>0</v>
      </c>
      <c r="I102" s="4" cm="1">
        <f t="array" ref="I102">lifetime_cost($D$4,$D$5,I$40,$A102,$D$10,$D$11,$D$9,$D$17,$D$26,$D$25)</f>
        <v>0</v>
      </c>
      <c r="J102" s="4" cm="1">
        <f t="array" ref="J102">lifetime_cost($D$4,$D$5,J$40,$A102,$D$10,$D$11,$D$9,$D$17,$D$26,$D$25)</f>
        <v>0</v>
      </c>
      <c r="K102" s="4" cm="1">
        <f t="array" ref="K102">lifetime_cost($D$4,$D$5,K$40,$A102,$D$10,$D$11,$D$9,$D$17,$D$26,$D$25)</f>
        <v>0</v>
      </c>
      <c r="L102" s="4" cm="1">
        <f t="array" ref="L102">lifetime_cost($D$4,$D$5,L$40,$A102,$D$10,$D$11,$D$9,$D$17,$D$26,$D$25)</f>
        <v>0</v>
      </c>
      <c r="M102" s="4" cm="1">
        <f t="array" ref="M102">lifetime_cost($D$4,$D$5,M$40,$A102,$D$10,$D$11,$D$9,$D$17,$D$26,$D$25)</f>
        <v>0</v>
      </c>
      <c r="N102" s="4" cm="1">
        <f t="array" ref="N102">lifetime_cost($D$4,$D$5,N$40,$A102,$D$10,$D$11,$D$9,$D$17,$D$26,$D$25)</f>
        <v>0</v>
      </c>
    </row>
    <row r="103" spans="1:14" x14ac:dyDescent="0.25">
      <c r="A103" s="2">
        <v>11</v>
      </c>
      <c r="B103" s="4" cm="1">
        <f t="array" ref="B103">lifetime_cost($D$4,$D$5,B$40,$A103,$D$10,$D$11,$D$9,$D$17,$D$26,$D$25)</f>
        <v>10.827199999999999</v>
      </c>
      <c r="C103" s="4" cm="1">
        <f t="array" ref="C103">lifetime_cost($D$4,$D$5,C$40,$A103,$D$10,$D$11,$D$9,$D$17,$D$26,$D$25)</f>
        <v>0</v>
      </c>
      <c r="D103" s="4" cm="1">
        <f t="array" ref="D103">lifetime_cost($D$4,$D$5,D$40,$A103,$D$10,$D$11,$D$9,$D$17,$D$26,$D$25)</f>
        <v>0</v>
      </c>
      <c r="E103" s="4" cm="1">
        <f t="array" ref="E103">lifetime_cost($D$4,$D$5,E$40,$A103,$D$10,$D$11,$D$9,$D$17,$D$26,$D$25)</f>
        <v>0</v>
      </c>
      <c r="F103" s="4" cm="1">
        <f t="array" ref="F103">lifetime_cost($D$4,$D$5,F$40,$A103,$D$10,$D$11,$D$9,$D$17,$D$26,$D$25)</f>
        <v>0</v>
      </c>
      <c r="G103" s="4" cm="1">
        <f t="array" ref="G103">lifetime_cost($D$4,$D$5,G$40,$A103,$D$10,$D$11,$D$9,$D$17,$D$26,$D$25)</f>
        <v>0</v>
      </c>
      <c r="H103" s="4" cm="1">
        <f t="array" ref="H103">lifetime_cost($D$4,$D$5,H$40,$A103,$D$10,$D$11,$D$9,$D$17,$D$26,$D$25)</f>
        <v>0</v>
      </c>
      <c r="I103" s="4" cm="1">
        <f t="array" ref="I103">lifetime_cost($D$4,$D$5,I$40,$A103,$D$10,$D$11,$D$9,$D$17,$D$26,$D$25)</f>
        <v>0</v>
      </c>
      <c r="J103" s="4" cm="1">
        <f t="array" ref="J103">lifetime_cost($D$4,$D$5,J$40,$A103,$D$10,$D$11,$D$9,$D$17,$D$26,$D$25)</f>
        <v>0</v>
      </c>
      <c r="K103" s="4" cm="1">
        <f t="array" ref="K103">lifetime_cost($D$4,$D$5,K$40,$A103,$D$10,$D$11,$D$9,$D$17,$D$26,$D$25)</f>
        <v>0</v>
      </c>
      <c r="L103" s="4" cm="1">
        <f t="array" ref="L103">lifetime_cost($D$4,$D$5,L$40,$A103,$D$10,$D$11,$D$9,$D$17,$D$26,$D$25)</f>
        <v>0</v>
      </c>
      <c r="M103" s="4" cm="1">
        <f t="array" ref="M103">lifetime_cost($D$4,$D$5,M$40,$A103,$D$10,$D$11,$D$9,$D$17,$D$26,$D$25)</f>
        <v>0</v>
      </c>
      <c r="N103" s="4" cm="1">
        <f t="array" ref="N103">lifetime_cost($D$4,$D$5,N$40,$A103,$D$10,$D$11,$D$9,$D$17,$D$26,$D$25)</f>
        <v>0</v>
      </c>
    </row>
    <row r="104" spans="1:14" x14ac:dyDescent="0.25">
      <c r="A104" s="2">
        <v>12</v>
      </c>
      <c r="B104" s="4" cm="1">
        <f t="array" ref="B104">lifetime_cost($D$4,$D$5,B$40,$A104,$D$10,$D$11,$D$9,$D$17,$D$26,$D$25)</f>
        <v>10.827199999999999</v>
      </c>
      <c r="C104" s="4" cm="1">
        <f t="array" ref="C104">lifetime_cost($D$4,$D$5,C$40,$A104,$D$10,$D$11,$D$9,$D$17,$D$26,$D$25)</f>
        <v>0</v>
      </c>
      <c r="D104" s="4" cm="1">
        <f t="array" ref="D104">lifetime_cost($D$4,$D$5,D$40,$A104,$D$10,$D$11,$D$9,$D$17,$D$26,$D$25)</f>
        <v>0</v>
      </c>
      <c r="E104" s="4" cm="1">
        <f t="array" ref="E104">lifetime_cost($D$4,$D$5,E$40,$A104,$D$10,$D$11,$D$9,$D$17,$D$26,$D$25)</f>
        <v>0</v>
      </c>
      <c r="F104" s="4" cm="1">
        <f t="array" ref="F104">lifetime_cost($D$4,$D$5,F$40,$A104,$D$10,$D$11,$D$9,$D$17,$D$26,$D$25)</f>
        <v>0</v>
      </c>
      <c r="G104" s="4" cm="1">
        <f t="array" ref="G104">lifetime_cost($D$4,$D$5,G$40,$A104,$D$10,$D$11,$D$9,$D$17,$D$26,$D$25)</f>
        <v>0</v>
      </c>
      <c r="H104" s="4" cm="1">
        <f t="array" ref="H104">lifetime_cost($D$4,$D$5,H$40,$A104,$D$10,$D$11,$D$9,$D$17,$D$26,$D$25)</f>
        <v>0</v>
      </c>
      <c r="I104" s="4" cm="1">
        <f t="array" ref="I104">lifetime_cost($D$4,$D$5,I$40,$A104,$D$10,$D$11,$D$9,$D$17,$D$26,$D$25)</f>
        <v>0</v>
      </c>
      <c r="J104" s="4" cm="1">
        <f t="array" ref="J104">lifetime_cost($D$4,$D$5,J$40,$A104,$D$10,$D$11,$D$9,$D$17,$D$26,$D$25)</f>
        <v>0</v>
      </c>
      <c r="K104" s="4" cm="1">
        <f t="array" ref="K104">lifetime_cost($D$4,$D$5,K$40,$A104,$D$10,$D$11,$D$9,$D$17,$D$26,$D$25)</f>
        <v>0</v>
      </c>
      <c r="L104" s="4" cm="1">
        <f t="array" ref="L104">lifetime_cost($D$4,$D$5,L$40,$A104,$D$10,$D$11,$D$9,$D$17,$D$26,$D$25)</f>
        <v>0</v>
      </c>
      <c r="M104" s="4" cm="1">
        <f t="array" ref="M104">lifetime_cost($D$4,$D$5,M$40,$A104,$D$10,$D$11,$D$9,$D$17,$D$26,$D$25)</f>
        <v>0</v>
      </c>
      <c r="N104" s="4" cm="1">
        <f t="array" ref="N104">lifetime_cost($D$4,$D$5,N$40,$A104,$D$10,$D$11,$D$9,$D$17,$D$26,$D$25)</f>
        <v>0</v>
      </c>
    </row>
    <row r="106" spans="1:14" x14ac:dyDescent="0.25">
      <c r="A106" s="2" t="s">
        <v>2</v>
      </c>
    </row>
    <row r="107" spans="1:14" x14ac:dyDescent="0.25">
      <c r="B107" s="2" t="s">
        <v>29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</row>
    <row r="108" spans="1:14" x14ac:dyDescent="0.25">
      <c r="A108" s="2" t="s">
        <v>27</v>
      </c>
      <c r="B108" s="2">
        <v>0.5</v>
      </c>
      <c r="C108" s="2">
        <f>B108+0.5</f>
        <v>1</v>
      </c>
      <c r="D108" s="2">
        <f t="shared" ref="D108" si="7">C108+0.5</f>
        <v>1.5</v>
      </c>
      <c r="E108" s="2">
        <f t="shared" ref="E108" si="8">D108+0.5</f>
        <v>2</v>
      </c>
      <c r="F108" s="2">
        <f t="shared" ref="F108" si="9">E108+0.5</f>
        <v>2.5</v>
      </c>
      <c r="G108" s="2">
        <f t="shared" ref="G108" si="10">F108+0.5</f>
        <v>3</v>
      </c>
      <c r="H108" s="2">
        <f t="shared" ref="H108" si="11">G108+0.5</f>
        <v>3.5</v>
      </c>
      <c r="I108" s="2">
        <f t="shared" ref="I108" si="12">H108+0.5</f>
        <v>4</v>
      </c>
      <c r="J108" s="2">
        <f>I108+0.5</f>
        <v>4.5</v>
      </c>
      <c r="K108" s="2">
        <f t="shared" ref="K108" si="13">J108+0.5</f>
        <v>5</v>
      </c>
      <c r="L108" s="2">
        <f t="shared" ref="L108" si="14">K108+0.5</f>
        <v>5.5</v>
      </c>
      <c r="M108" s="2">
        <f t="shared" ref="M108" si="15">L108+0.5</f>
        <v>6</v>
      </c>
      <c r="N108" s="2">
        <f t="shared" ref="N108" si="16">M108+0.5</f>
        <v>6.5</v>
      </c>
    </row>
    <row r="109" spans="1:14" x14ac:dyDescent="0.25">
      <c r="A109" s="2">
        <v>1</v>
      </c>
      <c r="B109" s="4" cm="1">
        <f t="array" ref="B109">lifetime_cost($E$4,$E$5,B$40,$A109,$E$10,$E$11,$E$9,$E$17,$E$26,$E$25)</f>
        <v>25.993600000000001</v>
      </c>
      <c r="C109" s="4" cm="1">
        <f t="array" ref="C109">lifetime_cost($E$4,$E$5,C$40,$A109,$E$10,$E$11,$E$9,$E$17,$E$26,$E$25)</f>
        <v>25.993600000000001</v>
      </c>
      <c r="D109" s="4" cm="1">
        <f t="array" ref="D109">lifetime_cost($E$4,$E$5,D$40,$A109,$E$10,$E$11,$E$9,$E$17,$E$26,$E$25)</f>
        <v>25.993600000000001</v>
      </c>
      <c r="E109" s="4" cm="1">
        <f t="array" ref="E109">lifetime_cost($E$4,$E$5,E$40,$A109,$E$10,$E$11,$E$9,$E$17,$E$26,$E$25)</f>
        <v>25.993600000000001</v>
      </c>
      <c r="F109" s="4" cm="1">
        <f t="array" ref="F109">lifetime_cost($E$4,$E$5,F$40,$A109,$E$10,$E$11,$E$9,$E$17,$E$26,$E$25)</f>
        <v>25.993600000000001</v>
      </c>
      <c r="G109" s="4" cm="1">
        <f t="array" ref="G109">lifetime_cost($E$4,$E$5,G$40,$A109,$E$10,$E$11,$E$9,$E$17,$E$26,$E$25)</f>
        <v>25.993600000000001</v>
      </c>
      <c r="H109" s="4" cm="1">
        <f t="array" ref="H109">lifetime_cost($E$4,$E$5,H$40,$A109,$E$10,$E$11,$E$9,$E$17,$E$26,$E$25)</f>
        <v>25.993600000000001</v>
      </c>
      <c r="I109" s="4" cm="1">
        <f t="array" ref="I109">lifetime_cost($E$4,$E$5,I$40,$A109,$E$10,$E$11,$E$9,$E$17,$E$26,$E$25)</f>
        <v>25.993600000000001</v>
      </c>
      <c r="J109" s="4" cm="1">
        <f t="array" ref="J109">lifetime_cost($E$4,$E$5,J$40,$A109,$E$10,$E$11,$E$9,$E$17,$E$26,$E$25)</f>
        <v>25.993600000000001</v>
      </c>
      <c r="K109" s="4" cm="1">
        <f t="array" ref="K109">lifetime_cost($E$4,$E$5,K$40,$A109,$E$10,$E$11,$E$9,$E$17,$E$26,$E$25)</f>
        <v>25.993600000000001</v>
      </c>
      <c r="L109" s="4" cm="1">
        <f t="array" ref="L109">lifetime_cost($E$4,$E$5,L$40,$A109,$E$10,$E$11,$E$9,$E$17,$E$26,$E$25)</f>
        <v>25.993600000000001</v>
      </c>
      <c r="M109" s="4" cm="1">
        <f t="array" ref="M109">lifetime_cost($E$4,$E$5,M$40,$A109,$E$10,$E$11,$E$9,$E$17,$E$26,$E$25)</f>
        <v>25.993600000000001</v>
      </c>
      <c r="N109" s="4" cm="1">
        <f t="array" ref="N109">lifetime_cost($E$4,$E$5,N$40,$A109,$E$10,$E$11,$E$9,$E$17,$E$26,$E$25)</f>
        <v>0</v>
      </c>
    </row>
    <row r="110" spans="1:14" x14ac:dyDescent="0.25">
      <c r="A110" s="2">
        <v>2</v>
      </c>
      <c r="B110" s="4" cm="1">
        <f t="array" ref="B110">lifetime_cost($E$4,$E$5,B$40,$A110,$E$10,$E$11,$E$9,$E$17,$E$26,$E$25)</f>
        <v>25.993600000000001</v>
      </c>
      <c r="C110" s="4" cm="1">
        <f t="array" ref="C110">lifetime_cost($E$4,$E$5,C$40,$A110,$E$10,$E$11,$E$9,$E$17,$E$26,$E$25)</f>
        <v>25.993600000000001</v>
      </c>
      <c r="D110" s="4" cm="1">
        <f t="array" ref="D110">lifetime_cost($E$4,$E$5,D$40,$A110,$E$10,$E$11,$E$9,$E$17,$E$26,$E$25)</f>
        <v>25.993600000000001</v>
      </c>
      <c r="E110" s="4" cm="1">
        <f t="array" ref="E110">lifetime_cost($E$4,$E$5,E$40,$A110,$E$10,$E$11,$E$9,$E$17,$E$26,$E$25)</f>
        <v>25.993600000000001</v>
      </c>
      <c r="F110" s="4" cm="1">
        <f t="array" ref="F110">lifetime_cost($E$4,$E$5,F$40,$A110,$E$10,$E$11,$E$9,$E$17,$E$26,$E$25)</f>
        <v>25.993600000000001</v>
      </c>
      <c r="G110" s="4" cm="1">
        <f t="array" ref="G110">lifetime_cost($E$4,$E$5,G$40,$A110,$E$10,$E$11,$E$9,$E$17,$E$26,$E$25)</f>
        <v>25.993600000000001</v>
      </c>
      <c r="H110" s="4" cm="1">
        <f t="array" ref="H110">lifetime_cost($E$4,$E$5,H$40,$A110,$E$10,$E$11,$E$9,$E$17,$E$26,$E$25)</f>
        <v>0</v>
      </c>
      <c r="I110" s="4" cm="1">
        <f t="array" ref="I110">lifetime_cost($E$4,$E$5,I$40,$A110,$E$10,$E$11,$E$9,$E$17,$E$26,$E$25)</f>
        <v>0</v>
      </c>
      <c r="J110" s="4" cm="1">
        <f t="array" ref="J110">lifetime_cost($E$4,$E$5,J$40,$A110,$E$10,$E$11,$E$9,$E$17,$E$26,$E$25)</f>
        <v>0</v>
      </c>
      <c r="K110" s="4" cm="1">
        <f t="array" ref="K110">lifetime_cost($E$4,$E$5,K$40,$A110,$E$10,$E$11,$E$9,$E$17,$E$26,$E$25)</f>
        <v>0</v>
      </c>
      <c r="L110" s="4" cm="1">
        <f t="array" ref="L110">lifetime_cost($E$4,$E$5,L$40,$A110,$E$10,$E$11,$E$9,$E$17,$E$26,$E$25)</f>
        <v>0</v>
      </c>
      <c r="M110" s="4" cm="1">
        <f t="array" ref="M110">lifetime_cost($E$4,$E$5,M$40,$A110,$E$10,$E$11,$E$9,$E$17,$E$26,$E$25)</f>
        <v>0</v>
      </c>
      <c r="N110" s="4" cm="1">
        <f t="array" ref="N110">lifetime_cost($E$4,$E$5,N$40,$A110,$E$10,$E$11,$E$9,$E$17,$E$26,$E$25)</f>
        <v>0</v>
      </c>
    </row>
    <row r="111" spans="1:14" x14ac:dyDescent="0.25">
      <c r="A111" s="2">
        <v>3</v>
      </c>
      <c r="B111" s="4" cm="1">
        <f t="array" ref="B111">lifetime_cost($E$4,$E$5,B$40,$A111,$E$10,$E$11,$E$9,$E$17,$E$26,$E$25)</f>
        <v>25.993600000000001</v>
      </c>
      <c r="C111" s="4" cm="1">
        <f t="array" ref="C111">lifetime_cost($E$4,$E$5,C$40,$A111,$E$10,$E$11,$E$9,$E$17,$E$26,$E$25)</f>
        <v>25.993600000000001</v>
      </c>
      <c r="D111" s="4" cm="1">
        <f t="array" ref="D111">lifetime_cost($E$4,$E$5,D$40,$A111,$E$10,$E$11,$E$9,$E$17,$E$26,$E$25)</f>
        <v>25.993600000000001</v>
      </c>
      <c r="E111" s="4" cm="1">
        <f t="array" ref="E111">lifetime_cost($E$4,$E$5,E$40,$A111,$E$10,$E$11,$E$9,$E$17,$E$26,$E$25)</f>
        <v>25.993600000000001</v>
      </c>
      <c r="F111" s="4" cm="1">
        <f t="array" ref="F111">lifetime_cost($E$4,$E$5,F$40,$A111,$E$10,$E$11,$E$9,$E$17,$E$26,$E$25)</f>
        <v>0</v>
      </c>
      <c r="G111" s="4" cm="1">
        <f t="array" ref="G111">lifetime_cost($E$4,$E$5,G$40,$A111,$E$10,$E$11,$E$9,$E$17,$E$26,$E$25)</f>
        <v>0</v>
      </c>
      <c r="H111" s="4" cm="1">
        <f t="array" ref="H111">lifetime_cost($E$4,$E$5,H$40,$A111,$E$10,$E$11,$E$9,$E$17,$E$26,$E$25)</f>
        <v>0</v>
      </c>
      <c r="I111" s="4" cm="1">
        <f t="array" ref="I111">lifetime_cost($E$4,$E$5,I$40,$A111,$E$10,$E$11,$E$9,$E$17,$E$26,$E$25)</f>
        <v>0</v>
      </c>
      <c r="J111" s="4" cm="1">
        <f t="array" ref="J111">lifetime_cost($E$4,$E$5,J$40,$A111,$E$10,$E$11,$E$9,$E$17,$E$26,$E$25)</f>
        <v>0</v>
      </c>
      <c r="K111" s="4" cm="1">
        <f t="array" ref="K111">lifetime_cost($E$4,$E$5,K$40,$A111,$E$10,$E$11,$E$9,$E$17,$E$26,$E$25)</f>
        <v>0</v>
      </c>
      <c r="L111" s="4" cm="1">
        <f t="array" ref="L111">lifetime_cost($E$4,$E$5,L$40,$A111,$E$10,$E$11,$E$9,$E$17,$E$26,$E$25)</f>
        <v>0</v>
      </c>
      <c r="M111" s="4" cm="1">
        <f t="array" ref="M111">lifetime_cost($E$4,$E$5,M$40,$A111,$E$10,$E$11,$E$9,$E$17,$E$26,$E$25)</f>
        <v>0</v>
      </c>
      <c r="N111" s="4" cm="1">
        <f t="array" ref="N111">lifetime_cost($E$4,$E$5,N$40,$A111,$E$10,$E$11,$E$9,$E$17,$E$26,$E$25)</f>
        <v>0</v>
      </c>
    </row>
    <row r="112" spans="1:14" x14ac:dyDescent="0.25">
      <c r="A112" s="2">
        <v>4</v>
      </c>
      <c r="B112" s="4" cm="1">
        <f t="array" ref="B112">lifetime_cost($E$4,$E$5,B$40,$A112,$E$10,$E$11,$E$9,$E$17,$E$26,$E$25)</f>
        <v>25.993600000000001</v>
      </c>
      <c r="C112" s="4" cm="1">
        <f t="array" ref="C112">lifetime_cost($E$4,$E$5,C$40,$A112,$E$10,$E$11,$E$9,$E$17,$E$26,$E$25)</f>
        <v>25.993600000000001</v>
      </c>
      <c r="D112" s="4" cm="1">
        <f t="array" ref="D112">lifetime_cost($E$4,$E$5,D$40,$A112,$E$10,$E$11,$E$9,$E$17,$E$26,$E$25)</f>
        <v>25.993600000000001</v>
      </c>
      <c r="E112" s="4" cm="1">
        <f t="array" ref="E112">lifetime_cost($E$4,$E$5,E$40,$A112,$E$10,$E$11,$E$9,$E$17,$E$26,$E$25)</f>
        <v>0</v>
      </c>
      <c r="F112" s="4" cm="1">
        <f t="array" ref="F112">lifetime_cost($E$4,$E$5,F$40,$A112,$E$10,$E$11,$E$9,$E$17,$E$26,$E$25)</f>
        <v>0</v>
      </c>
      <c r="G112" s="4" cm="1">
        <f t="array" ref="G112">lifetime_cost($E$4,$E$5,G$40,$A112,$E$10,$E$11,$E$9,$E$17,$E$26,$E$25)</f>
        <v>0</v>
      </c>
      <c r="H112" s="4" cm="1">
        <f t="array" ref="H112">lifetime_cost($E$4,$E$5,H$40,$A112,$E$10,$E$11,$E$9,$E$17,$E$26,$E$25)</f>
        <v>0</v>
      </c>
      <c r="I112" s="4" cm="1">
        <f t="array" ref="I112">lifetime_cost($E$4,$E$5,I$40,$A112,$E$10,$E$11,$E$9,$E$17,$E$26,$E$25)</f>
        <v>0</v>
      </c>
      <c r="J112" s="4" cm="1">
        <f t="array" ref="J112">lifetime_cost($E$4,$E$5,J$40,$A112,$E$10,$E$11,$E$9,$E$17,$E$26,$E$25)</f>
        <v>0</v>
      </c>
      <c r="K112" s="4" cm="1">
        <f t="array" ref="K112">lifetime_cost($E$4,$E$5,K$40,$A112,$E$10,$E$11,$E$9,$E$17,$E$26,$E$25)</f>
        <v>0</v>
      </c>
      <c r="L112" s="4" cm="1">
        <f t="array" ref="L112">lifetime_cost($E$4,$E$5,L$40,$A112,$E$10,$E$11,$E$9,$E$17,$E$26,$E$25)</f>
        <v>0</v>
      </c>
      <c r="M112" s="4" cm="1">
        <f t="array" ref="M112">lifetime_cost($E$4,$E$5,M$40,$A112,$E$10,$E$11,$E$9,$E$17,$E$26,$E$25)</f>
        <v>0</v>
      </c>
      <c r="N112" s="4" cm="1">
        <f t="array" ref="N112">lifetime_cost($E$4,$E$5,N$40,$A112,$E$10,$E$11,$E$9,$E$17,$E$26,$E$25)</f>
        <v>0</v>
      </c>
    </row>
    <row r="113" spans="1:16" x14ac:dyDescent="0.25">
      <c r="A113" s="2">
        <v>5</v>
      </c>
      <c r="B113" s="4" cm="1">
        <f t="array" ref="B113">lifetime_cost($E$4,$E$5,B$40,$A113,$E$10,$E$11,$E$9,$E$17,$E$26,$E$25)</f>
        <v>25.993600000000001</v>
      </c>
      <c r="C113" s="4" cm="1">
        <f t="array" ref="C113">lifetime_cost($E$4,$E$5,C$40,$A113,$E$10,$E$11,$E$9,$E$17,$E$26,$E$25)</f>
        <v>25.993600000000001</v>
      </c>
      <c r="D113" s="4" cm="1">
        <f t="array" ref="D113">lifetime_cost($E$4,$E$5,D$40,$A113,$E$10,$E$11,$E$9,$E$17,$E$26,$E$25)</f>
        <v>0</v>
      </c>
      <c r="E113" s="4" cm="1">
        <f t="array" ref="E113">lifetime_cost($E$4,$E$5,E$40,$A113,$E$10,$E$11,$E$9,$E$17,$E$26,$E$25)</f>
        <v>0</v>
      </c>
      <c r="F113" s="4" cm="1">
        <f t="array" ref="F113">lifetime_cost($E$4,$E$5,F$40,$A113,$E$10,$E$11,$E$9,$E$17,$E$26,$E$25)</f>
        <v>0</v>
      </c>
      <c r="G113" s="4" cm="1">
        <f t="array" ref="G113">lifetime_cost($E$4,$E$5,G$40,$A113,$E$10,$E$11,$E$9,$E$17,$E$26,$E$25)</f>
        <v>0</v>
      </c>
      <c r="H113" s="4" cm="1">
        <f t="array" ref="H113">lifetime_cost($E$4,$E$5,H$40,$A113,$E$10,$E$11,$E$9,$E$17,$E$26,$E$25)</f>
        <v>0</v>
      </c>
      <c r="I113" s="4" cm="1">
        <f t="array" ref="I113">lifetime_cost($E$4,$E$5,I$40,$A113,$E$10,$E$11,$E$9,$E$17,$E$26,$E$25)</f>
        <v>0</v>
      </c>
      <c r="J113" s="4" cm="1">
        <f t="array" ref="J113">lifetime_cost($E$4,$E$5,J$40,$A113,$E$10,$E$11,$E$9,$E$17,$E$26,$E$25)</f>
        <v>0</v>
      </c>
      <c r="K113" s="4" cm="1">
        <f t="array" ref="K113">lifetime_cost($E$4,$E$5,K$40,$A113,$E$10,$E$11,$E$9,$E$17,$E$26,$E$25)</f>
        <v>0</v>
      </c>
      <c r="L113" s="4" cm="1">
        <f t="array" ref="L113">lifetime_cost($E$4,$E$5,L$40,$A113,$E$10,$E$11,$E$9,$E$17,$E$26,$E$25)</f>
        <v>0</v>
      </c>
      <c r="M113" s="4" cm="1">
        <f t="array" ref="M113">lifetime_cost($E$4,$E$5,M$40,$A113,$E$10,$E$11,$E$9,$E$17,$E$26,$E$25)</f>
        <v>0</v>
      </c>
      <c r="N113" s="4" cm="1">
        <f t="array" ref="N113">lifetime_cost($E$4,$E$5,N$40,$A113,$E$10,$E$11,$E$9,$E$17,$E$26,$E$25)</f>
        <v>0</v>
      </c>
    </row>
    <row r="114" spans="1:16" x14ac:dyDescent="0.25">
      <c r="A114" s="2">
        <v>6</v>
      </c>
      <c r="B114" s="4" cm="1">
        <f t="array" ref="B114">lifetime_cost($E$4,$E$5,B$40,$A114,$E$10,$E$11,$E$9,$E$17,$E$26,$E$25)</f>
        <v>25.993600000000001</v>
      </c>
      <c r="C114" s="4" cm="1">
        <f t="array" ref="C114">lifetime_cost($E$4,$E$5,C$40,$A114,$E$10,$E$11,$E$9,$E$17,$E$26,$E$25)</f>
        <v>25.993600000000001</v>
      </c>
      <c r="D114" s="4" cm="1">
        <f t="array" ref="D114">lifetime_cost($E$4,$E$5,D$40,$A114,$E$10,$E$11,$E$9,$E$17,$E$26,$E$25)</f>
        <v>0</v>
      </c>
      <c r="E114" s="4" cm="1">
        <f t="array" ref="E114">lifetime_cost($E$4,$E$5,E$40,$A114,$E$10,$E$11,$E$9,$E$17,$E$26,$E$25)</f>
        <v>0</v>
      </c>
      <c r="F114" s="4" cm="1">
        <f t="array" ref="F114">lifetime_cost($E$4,$E$5,F$40,$A114,$E$10,$E$11,$E$9,$E$17,$E$26,$E$25)</f>
        <v>0</v>
      </c>
      <c r="G114" s="4" cm="1">
        <f t="array" ref="G114">lifetime_cost($E$4,$E$5,G$40,$A114,$E$10,$E$11,$E$9,$E$17,$E$26,$E$25)</f>
        <v>0</v>
      </c>
      <c r="H114" s="4" cm="1">
        <f t="array" ref="H114">lifetime_cost($E$4,$E$5,H$40,$A114,$E$10,$E$11,$E$9,$E$17,$E$26,$E$25)</f>
        <v>0</v>
      </c>
      <c r="I114" s="4" cm="1">
        <f t="array" ref="I114">lifetime_cost($E$4,$E$5,I$40,$A114,$E$10,$E$11,$E$9,$E$17,$E$26,$E$25)</f>
        <v>0</v>
      </c>
      <c r="J114" s="4" cm="1">
        <f t="array" ref="J114">lifetime_cost($E$4,$E$5,J$40,$A114,$E$10,$E$11,$E$9,$E$17,$E$26,$E$25)</f>
        <v>0</v>
      </c>
      <c r="K114" s="4" cm="1">
        <f t="array" ref="K114">lifetime_cost($E$4,$E$5,K$40,$A114,$E$10,$E$11,$E$9,$E$17,$E$26,$E$25)</f>
        <v>0</v>
      </c>
      <c r="L114" s="4" cm="1">
        <f t="array" ref="L114">lifetime_cost($E$4,$E$5,L$40,$A114,$E$10,$E$11,$E$9,$E$17,$E$26,$E$25)</f>
        <v>0</v>
      </c>
      <c r="M114" s="4" cm="1">
        <f t="array" ref="M114">lifetime_cost($E$4,$E$5,M$40,$A114,$E$10,$E$11,$E$9,$E$17,$E$26,$E$25)</f>
        <v>0</v>
      </c>
      <c r="N114" s="4" cm="1">
        <f t="array" ref="N114">lifetime_cost($E$4,$E$5,N$40,$A114,$E$10,$E$11,$E$9,$E$17,$E$26,$E$25)</f>
        <v>0</v>
      </c>
    </row>
    <row r="115" spans="1:16" x14ac:dyDescent="0.25">
      <c r="A115" s="2">
        <v>7</v>
      </c>
      <c r="B115" s="4" cm="1">
        <f t="array" ref="B115">lifetime_cost($E$4,$E$5,B$40,$A115,$E$10,$E$11,$E$9,$E$17,$E$26,$E$25)</f>
        <v>25.993600000000001</v>
      </c>
      <c r="C115" s="4" cm="1">
        <f t="array" ref="C115">lifetime_cost($E$4,$E$5,C$40,$A115,$E$10,$E$11,$E$9,$E$17,$E$26,$E$25)</f>
        <v>0</v>
      </c>
      <c r="D115" s="4" cm="1">
        <f t="array" ref="D115">lifetime_cost($E$4,$E$5,D$40,$A115,$E$10,$E$11,$E$9,$E$17,$E$26,$E$25)</f>
        <v>0</v>
      </c>
      <c r="E115" s="4" cm="1">
        <f t="array" ref="E115">lifetime_cost($E$4,$E$5,E$40,$A115,$E$10,$E$11,$E$9,$E$17,$E$26,$E$25)</f>
        <v>0</v>
      </c>
      <c r="F115" s="4" cm="1">
        <f t="array" ref="F115">lifetime_cost($E$4,$E$5,F$40,$A115,$E$10,$E$11,$E$9,$E$17,$E$26,$E$25)</f>
        <v>0</v>
      </c>
      <c r="G115" s="4" cm="1">
        <f t="array" ref="G115">lifetime_cost($E$4,$E$5,G$40,$A115,$E$10,$E$11,$E$9,$E$17,$E$26,$E$25)</f>
        <v>0</v>
      </c>
      <c r="H115" s="4" cm="1">
        <f t="array" ref="H115">lifetime_cost($E$4,$E$5,H$40,$A115,$E$10,$E$11,$E$9,$E$17,$E$26,$E$25)</f>
        <v>0</v>
      </c>
      <c r="I115" s="4" cm="1">
        <f t="array" ref="I115">lifetime_cost($E$4,$E$5,I$40,$A115,$E$10,$E$11,$E$9,$E$17,$E$26,$E$25)</f>
        <v>0</v>
      </c>
      <c r="J115" s="4" cm="1">
        <f t="array" ref="J115">lifetime_cost($E$4,$E$5,J$40,$A115,$E$10,$E$11,$E$9,$E$17,$E$26,$E$25)</f>
        <v>0</v>
      </c>
      <c r="K115" s="4" cm="1">
        <f t="array" ref="K115">lifetime_cost($E$4,$E$5,K$40,$A115,$E$10,$E$11,$E$9,$E$17,$E$26,$E$25)</f>
        <v>0</v>
      </c>
      <c r="L115" s="4" cm="1">
        <f t="array" ref="L115">lifetime_cost($E$4,$E$5,L$40,$A115,$E$10,$E$11,$E$9,$E$17,$E$26,$E$25)</f>
        <v>0</v>
      </c>
      <c r="M115" s="4" cm="1">
        <f t="array" ref="M115">lifetime_cost($E$4,$E$5,M$40,$A115,$E$10,$E$11,$E$9,$E$17,$E$26,$E$25)</f>
        <v>0</v>
      </c>
      <c r="N115" s="4" cm="1">
        <f t="array" ref="N115">lifetime_cost($E$4,$E$5,N$40,$A115,$E$10,$E$11,$E$9,$E$17,$E$26,$E$25)</f>
        <v>0</v>
      </c>
    </row>
    <row r="116" spans="1:16" x14ac:dyDescent="0.25">
      <c r="A116" s="2">
        <v>8</v>
      </c>
      <c r="B116" s="4" cm="1">
        <f t="array" ref="B116">lifetime_cost($E$4,$E$5,B$40,$A116,$E$10,$E$11,$E$9,$E$17,$E$26,$E$25)</f>
        <v>25.993600000000001</v>
      </c>
      <c r="C116" s="4" cm="1">
        <f t="array" ref="C116">lifetime_cost($E$4,$E$5,C$40,$A116,$E$10,$E$11,$E$9,$E$17,$E$26,$E$25)</f>
        <v>0</v>
      </c>
      <c r="D116" s="4" cm="1">
        <f t="array" ref="D116">lifetime_cost($E$4,$E$5,D$40,$A116,$E$10,$E$11,$E$9,$E$17,$E$26,$E$25)</f>
        <v>0</v>
      </c>
      <c r="E116" s="4" cm="1">
        <f t="array" ref="E116">lifetime_cost($E$4,$E$5,E$40,$A116,$E$10,$E$11,$E$9,$E$17,$E$26,$E$25)</f>
        <v>0</v>
      </c>
      <c r="F116" s="4" cm="1">
        <f t="array" ref="F116">lifetime_cost($E$4,$E$5,F$40,$A116,$E$10,$E$11,$E$9,$E$17,$E$26,$E$25)</f>
        <v>0</v>
      </c>
      <c r="G116" s="4" cm="1">
        <f t="array" ref="G116">lifetime_cost($E$4,$E$5,G$40,$A116,$E$10,$E$11,$E$9,$E$17,$E$26,$E$25)</f>
        <v>0</v>
      </c>
      <c r="H116" s="4" cm="1">
        <f t="array" ref="H116">lifetime_cost($E$4,$E$5,H$40,$A116,$E$10,$E$11,$E$9,$E$17,$E$26,$E$25)</f>
        <v>0</v>
      </c>
      <c r="I116" s="4" cm="1">
        <f t="array" ref="I116">lifetime_cost($E$4,$E$5,I$40,$A116,$E$10,$E$11,$E$9,$E$17,$E$26,$E$25)</f>
        <v>0</v>
      </c>
      <c r="J116" s="4" cm="1">
        <f t="array" ref="J116">lifetime_cost($E$4,$E$5,J$40,$A116,$E$10,$E$11,$E$9,$E$17,$E$26,$E$25)</f>
        <v>0</v>
      </c>
      <c r="K116" s="4" cm="1">
        <f t="array" ref="K116">lifetime_cost($E$4,$E$5,K$40,$A116,$E$10,$E$11,$E$9,$E$17,$E$26,$E$25)</f>
        <v>0</v>
      </c>
      <c r="L116" s="4" cm="1">
        <f t="array" ref="L116">lifetime_cost($E$4,$E$5,L$40,$A116,$E$10,$E$11,$E$9,$E$17,$E$26,$E$25)</f>
        <v>0</v>
      </c>
      <c r="M116" s="4" cm="1">
        <f t="array" ref="M116">lifetime_cost($E$4,$E$5,M$40,$A116,$E$10,$E$11,$E$9,$E$17,$E$26,$E$25)</f>
        <v>0</v>
      </c>
      <c r="N116" s="4" cm="1">
        <f t="array" ref="N116">lifetime_cost($E$4,$E$5,N$40,$A116,$E$10,$E$11,$E$9,$E$17,$E$26,$E$25)</f>
        <v>0</v>
      </c>
    </row>
    <row r="117" spans="1:16" x14ac:dyDescent="0.25">
      <c r="A117" s="2">
        <v>9</v>
      </c>
      <c r="B117" s="4" cm="1">
        <f t="array" ref="B117">lifetime_cost($E$4,$E$5,B$40,$A117,$E$10,$E$11,$E$9,$E$17,$E$26,$E$25)</f>
        <v>25.993600000000001</v>
      </c>
      <c r="C117" s="4" cm="1">
        <f t="array" ref="C117">lifetime_cost($E$4,$E$5,C$40,$A117,$E$10,$E$11,$E$9,$E$17,$E$26,$E$25)</f>
        <v>0</v>
      </c>
      <c r="D117" s="4" cm="1">
        <f t="array" ref="D117">lifetime_cost($E$4,$E$5,D$40,$A117,$E$10,$E$11,$E$9,$E$17,$E$26,$E$25)</f>
        <v>0</v>
      </c>
      <c r="E117" s="4" cm="1">
        <f t="array" ref="E117">lifetime_cost($E$4,$E$5,E$40,$A117,$E$10,$E$11,$E$9,$E$17,$E$26,$E$25)</f>
        <v>0</v>
      </c>
      <c r="F117" s="4" cm="1">
        <f t="array" ref="F117">lifetime_cost($E$4,$E$5,F$40,$A117,$E$10,$E$11,$E$9,$E$17,$E$26,$E$25)</f>
        <v>0</v>
      </c>
      <c r="G117" s="4" cm="1">
        <f t="array" ref="G117">lifetime_cost($E$4,$E$5,G$40,$A117,$E$10,$E$11,$E$9,$E$17,$E$26,$E$25)</f>
        <v>0</v>
      </c>
      <c r="H117" s="4" cm="1">
        <f t="array" ref="H117">lifetime_cost($E$4,$E$5,H$40,$A117,$E$10,$E$11,$E$9,$E$17,$E$26,$E$25)</f>
        <v>0</v>
      </c>
      <c r="I117" s="4" cm="1">
        <f t="array" ref="I117">lifetime_cost($E$4,$E$5,I$40,$A117,$E$10,$E$11,$E$9,$E$17,$E$26,$E$25)</f>
        <v>0</v>
      </c>
      <c r="J117" s="4" cm="1">
        <f t="array" ref="J117">lifetime_cost($E$4,$E$5,J$40,$A117,$E$10,$E$11,$E$9,$E$17,$E$26,$E$25)</f>
        <v>0</v>
      </c>
      <c r="K117" s="4" cm="1">
        <f t="array" ref="K117">lifetime_cost($E$4,$E$5,K$40,$A117,$E$10,$E$11,$E$9,$E$17,$E$26,$E$25)</f>
        <v>0</v>
      </c>
      <c r="L117" s="4" cm="1">
        <f t="array" ref="L117">lifetime_cost($E$4,$E$5,L$40,$A117,$E$10,$E$11,$E$9,$E$17,$E$26,$E$25)</f>
        <v>0</v>
      </c>
      <c r="M117" s="4" cm="1">
        <f t="array" ref="M117">lifetime_cost($E$4,$E$5,M$40,$A117,$E$10,$E$11,$E$9,$E$17,$E$26,$E$25)</f>
        <v>0</v>
      </c>
      <c r="N117" s="4" cm="1">
        <f t="array" ref="N117">lifetime_cost($E$4,$E$5,N$40,$A117,$E$10,$E$11,$E$9,$E$17,$E$26,$E$25)</f>
        <v>0</v>
      </c>
    </row>
    <row r="118" spans="1:16" x14ac:dyDescent="0.25">
      <c r="A118" s="2">
        <v>10</v>
      </c>
      <c r="B118" s="4" cm="1">
        <f t="array" ref="B118">lifetime_cost($E$4,$E$5,B$40,$A118,$E$10,$E$11,$E$9,$E$17,$E$26,$E$25)</f>
        <v>25.993600000000001</v>
      </c>
      <c r="C118" s="4" cm="1">
        <f t="array" ref="C118">lifetime_cost($E$4,$E$5,C$40,$A118,$E$10,$E$11,$E$9,$E$17,$E$26,$E$25)</f>
        <v>0</v>
      </c>
      <c r="D118" s="4" cm="1">
        <f t="array" ref="D118">lifetime_cost($E$4,$E$5,D$40,$A118,$E$10,$E$11,$E$9,$E$17,$E$26,$E$25)</f>
        <v>0</v>
      </c>
      <c r="E118" s="4" cm="1">
        <f t="array" ref="E118">lifetime_cost($E$4,$E$5,E$40,$A118,$E$10,$E$11,$E$9,$E$17,$E$26,$E$25)</f>
        <v>0</v>
      </c>
      <c r="F118" s="4" cm="1">
        <f t="array" ref="F118">lifetime_cost($E$4,$E$5,F$40,$A118,$E$10,$E$11,$E$9,$E$17,$E$26,$E$25)</f>
        <v>0</v>
      </c>
      <c r="G118" s="4" cm="1">
        <f t="array" ref="G118">lifetime_cost($E$4,$E$5,G$40,$A118,$E$10,$E$11,$E$9,$E$17,$E$26,$E$25)</f>
        <v>0</v>
      </c>
      <c r="H118" s="4" cm="1">
        <f t="array" ref="H118">lifetime_cost($E$4,$E$5,H$40,$A118,$E$10,$E$11,$E$9,$E$17,$E$26,$E$25)</f>
        <v>0</v>
      </c>
      <c r="I118" s="4" cm="1">
        <f t="array" ref="I118">lifetime_cost($E$4,$E$5,I$40,$A118,$E$10,$E$11,$E$9,$E$17,$E$26,$E$25)</f>
        <v>0</v>
      </c>
      <c r="J118" s="4" cm="1">
        <f t="array" ref="J118">lifetime_cost($E$4,$E$5,J$40,$A118,$E$10,$E$11,$E$9,$E$17,$E$26,$E$25)</f>
        <v>0</v>
      </c>
      <c r="K118" s="4" cm="1">
        <f t="array" ref="K118">lifetime_cost($E$4,$E$5,K$40,$A118,$E$10,$E$11,$E$9,$E$17,$E$26,$E$25)</f>
        <v>0</v>
      </c>
      <c r="L118" s="4" cm="1">
        <f t="array" ref="L118">lifetime_cost($E$4,$E$5,L$40,$A118,$E$10,$E$11,$E$9,$E$17,$E$26,$E$25)</f>
        <v>0</v>
      </c>
      <c r="M118" s="4" cm="1">
        <f t="array" ref="M118">lifetime_cost($E$4,$E$5,M$40,$A118,$E$10,$E$11,$E$9,$E$17,$E$26,$E$25)</f>
        <v>0</v>
      </c>
      <c r="N118" s="4" cm="1">
        <f t="array" ref="N118">lifetime_cost($E$4,$E$5,N$40,$A118,$E$10,$E$11,$E$9,$E$17,$E$26,$E$25)</f>
        <v>0</v>
      </c>
    </row>
    <row r="119" spans="1:16" x14ac:dyDescent="0.25">
      <c r="A119" s="2">
        <v>11</v>
      </c>
      <c r="B119" s="4" cm="1">
        <f t="array" ref="B119">lifetime_cost($E$4,$E$5,B$40,$A119,$E$10,$E$11,$E$9,$E$17,$E$26,$E$25)</f>
        <v>25.993600000000001</v>
      </c>
      <c r="C119" s="4" cm="1">
        <f t="array" ref="C119">lifetime_cost($E$4,$E$5,C$40,$A119,$E$10,$E$11,$E$9,$E$17,$E$26,$E$25)</f>
        <v>0</v>
      </c>
      <c r="D119" s="4" cm="1">
        <f t="array" ref="D119">lifetime_cost($E$4,$E$5,D$40,$A119,$E$10,$E$11,$E$9,$E$17,$E$26,$E$25)</f>
        <v>0</v>
      </c>
      <c r="E119" s="4" cm="1">
        <f t="array" ref="E119">lifetime_cost($E$4,$E$5,E$40,$A119,$E$10,$E$11,$E$9,$E$17,$E$26,$E$25)</f>
        <v>0</v>
      </c>
      <c r="F119" s="4" cm="1">
        <f t="array" ref="F119">lifetime_cost($E$4,$E$5,F$40,$A119,$E$10,$E$11,$E$9,$E$17,$E$26,$E$25)</f>
        <v>0</v>
      </c>
      <c r="G119" s="4" cm="1">
        <f t="array" ref="G119">lifetime_cost($E$4,$E$5,G$40,$A119,$E$10,$E$11,$E$9,$E$17,$E$26,$E$25)</f>
        <v>0</v>
      </c>
      <c r="H119" s="4" cm="1">
        <f t="array" ref="H119">lifetime_cost($E$4,$E$5,H$40,$A119,$E$10,$E$11,$E$9,$E$17,$E$26,$E$25)</f>
        <v>0</v>
      </c>
      <c r="I119" s="4" cm="1">
        <f t="array" ref="I119">lifetime_cost($E$4,$E$5,I$40,$A119,$E$10,$E$11,$E$9,$E$17,$E$26,$E$25)</f>
        <v>0</v>
      </c>
      <c r="J119" s="4" cm="1">
        <f t="array" ref="J119">lifetime_cost($E$4,$E$5,J$40,$A119,$E$10,$E$11,$E$9,$E$17,$E$26,$E$25)</f>
        <v>0</v>
      </c>
      <c r="K119" s="4" cm="1">
        <f t="array" ref="K119">lifetime_cost($E$4,$E$5,K$40,$A119,$E$10,$E$11,$E$9,$E$17,$E$26,$E$25)</f>
        <v>0</v>
      </c>
      <c r="L119" s="4" cm="1">
        <f t="array" ref="L119">lifetime_cost($E$4,$E$5,L$40,$A119,$E$10,$E$11,$E$9,$E$17,$E$26,$E$25)</f>
        <v>0</v>
      </c>
      <c r="M119" s="4" cm="1">
        <f t="array" ref="M119">lifetime_cost($E$4,$E$5,M$40,$A119,$E$10,$E$11,$E$9,$E$17,$E$26,$E$25)</f>
        <v>0</v>
      </c>
      <c r="N119" s="4" cm="1">
        <f t="array" ref="N119">lifetime_cost($E$4,$E$5,N$40,$A119,$E$10,$E$11,$E$9,$E$17,$E$26,$E$25)</f>
        <v>0</v>
      </c>
    </row>
    <row r="120" spans="1:16" x14ac:dyDescent="0.25">
      <c r="A120" s="2">
        <v>12</v>
      </c>
      <c r="B120" s="4" cm="1">
        <f t="array" ref="B120">lifetime_cost($E$4,$E$5,B$40,$A120,$E$10,$E$11,$E$9,$E$17,$E$26,$E$25)</f>
        <v>25.993600000000001</v>
      </c>
      <c r="C120" s="4" cm="1">
        <f t="array" ref="C120">lifetime_cost($E$4,$E$5,C$40,$A120,$E$10,$E$11,$E$9,$E$17,$E$26,$E$25)</f>
        <v>0</v>
      </c>
      <c r="D120" s="4" cm="1">
        <f t="array" ref="D120">lifetime_cost($E$4,$E$5,D$40,$A120,$E$10,$E$11,$E$9,$E$17,$E$26,$E$25)</f>
        <v>0</v>
      </c>
      <c r="E120" s="4" cm="1">
        <f t="array" ref="E120">lifetime_cost($E$4,$E$5,E$40,$A120,$E$10,$E$11,$E$9,$E$17,$E$26,$E$25)</f>
        <v>0</v>
      </c>
      <c r="F120" s="4" cm="1">
        <f t="array" ref="F120">lifetime_cost($E$4,$E$5,F$40,$A120,$E$10,$E$11,$E$9,$E$17,$E$26,$E$25)</f>
        <v>0</v>
      </c>
      <c r="G120" s="4" cm="1">
        <f t="array" ref="G120">lifetime_cost($E$4,$E$5,G$40,$A120,$E$10,$E$11,$E$9,$E$17,$E$26,$E$25)</f>
        <v>0</v>
      </c>
      <c r="H120" s="4" cm="1">
        <f t="array" ref="H120">lifetime_cost($E$4,$E$5,H$40,$A120,$E$10,$E$11,$E$9,$E$17,$E$26,$E$25)</f>
        <v>0</v>
      </c>
      <c r="I120" s="4" cm="1">
        <f t="array" ref="I120">lifetime_cost($E$4,$E$5,I$40,$A120,$E$10,$E$11,$E$9,$E$17,$E$26,$E$25)</f>
        <v>0</v>
      </c>
      <c r="J120" s="4" cm="1">
        <f t="array" ref="J120">lifetime_cost($E$4,$E$5,J$40,$A120,$E$10,$E$11,$E$9,$E$17,$E$26,$E$25)</f>
        <v>0</v>
      </c>
      <c r="K120" s="4" cm="1">
        <f t="array" ref="K120">lifetime_cost($E$4,$E$5,K$40,$A120,$E$10,$E$11,$E$9,$E$17,$E$26,$E$25)</f>
        <v>0</v>
      </c>
      <c r="L120" s="4" cm="1">
        <f t="array" ref="L120">lifetime_cost($E$4,$E$5,L$40,$A120,$E$10,$E$11,$E$9,$E$17,$E$26,$E$25)</f>
        <v>0</v>
      </c>
      <c r="M120" s="4" cm="1">
        <f t="array" ref="M120">lifetime_cost($E$4,$E$5,M$40,$A120,$E$10,$E$11,$E$9,$E$17,$E$26,$E$25)</f>
        <v>0</v>
      </c>
      <c r="N120" s="4" cm="1">
        <f t="array" ref="N120">lifetime_cost($E$4,$E$5,N$40,$A120,$E$10,$E$11,$E$9,$E$17,$E$26,$E$25)</f>
        <v>0</v>
      </c>
    </row>
    <row r="122" spans="1:16" x14ac:dyDescent="0.25">
      <c r="A122" s="2" t="s">
        <v>81</v>
      </c>
    </row>
    <row r="123" spans="1:16" x14ac:dyDescent="0.25">
      <c r="B123" s="2" t="s">
        <v>29</v>
      </c>
    </row>
    <row r="124" spans="1:16" x14ac:dyDescent="0.25">
      <c r="A124" s="2" t="s">
        <v>27</v>
      </c>
      <c r="B124" s="2">
        <v>0.5</v>
      </c>
      <c r="C124" s="2">
        <f>B124+0.5</f>
        <v>1</v>
      </c>
      <c r="D124" s="2">
        <f t="shared" ref="D124:I124" si="17">C124+0.5</f>
        <v>1.5</v>
      </c>
      <c r="E124" s="2">
        <f t="shared" si="17"/>
        <v>2</v>
      </c>
      <c r="F124" s="2">
        <f t="shared" si="17"/>
        <v>2.5</v>
      </c>
      <c r="G124" s="2">
        <f t="shared" si="17"/>
        <v>3</v>
      </c>
      <c r="H124" s="2">
        <f t="shared" si="17"/>
        <v>3.5</v>
      </c>
      <c r="I124" s="2">
        <f t="shared" si="17"/>
        <v>4</v>
      </c>
      <c r="J124" s="2">
        <f>I124+0.5</f>
        <v>4.5</v>
      </c>
      <c r="K124" s="2">
        <f t="shared" ref="K124:N124" si="18">J124+0.5</f>
        <v>5</v>
      </c>
      <c r="L124" s="2">
        <f t="shared" si="18"/>
        <v>5.5</v>
      </c>
      <c r="M124" s="2">
        <f t="shared" si="18"/>
        <v>6</v>
      </c>
      <c r="N124" s="2">
        <f t="shared" si="18"/>
        <v>6.5</v>
      </c>
    </row>
    <row r="125" spans="1:16" x14ac:dyDescent="0.25">
      <c r="A125" s="2">
        <v>1</v>
      </c>
      <c r="B125" s="3" cm="1">
        <f t="array" ref="B125">goodness_ratio(B93,B109)</f>
        <v>0.83306660100947916</v>
      </c>
      <c r="C125" s="3" cm="1">
        <f t="array" ref="C125">goodness_ratio(C93,C109)</f>
        <v>1.4578665517665887</v>
      </c>
      <c r="D125" s="3" cm="1">
        <f t="array" ref="D125">goodness_ratio(D93,D109)</f>
        <v>2.0826665025236983</v>
      </c>
      <c r="E125" s="3" cm="1">
        <f t="array" ref="E125">goodness_ratio(E93,E109)</f>
        <v>2.7074664532808077</v>
      </c>
      <c r="F125" s="3" cm="1">
        <f t="array" ref="F125">goodness_ratio(F93,F109)</f>
        <v>2.7074664532808077</v>
      </c>
      <c r="G125" s="3" cm="1">
        <f t="array" ref="G125">goodness_ratio(G93,G109)</f>
        <v>3.5405330542902869</v>
      </c>
      <c r="H125" s="3" cm="1">
        <f t="array" ref="H125">goodness_ratio(H93,H109)</f>
        <v>3.5405330542902869</v>
      </c>
      <c r="I125" s="3" cm="1">
        <f t="array" ref="I125">goodness_ratio(I93,I109)</f>
        <v>4.5818663055521354</v>
      </c>
      <c r="J125" s="3" cm="1">
        <f t="array" ref="J125">goodness_ratio(J93,J109)</f>
        <v>5.6231995568139848</v>
      </c>
      <c r="K125" s="3" cm="1">
        <f t="array" ref="K125">goodness_ratio(K93,K109)</f>
        <v>3.5405330542902869</v>
      </c>
      <c r="L125" s="3" cm="1">
        <f t="array" ref="L125">goodness_ratio(L93,L109)</f>
        <v>4.1653330050473967</v>
      </c>
      <c r="M125" s="3" cm="1">
        <f t="array" ref="M125">goodness_ratio(M93,M109)</f>
        <v>4.9983996060568758</v>
      </c>
      <c r="N125" s="3" cm="1">
        <f t="array" ref="N125">goodness_ratio(N93,N109)</f>
        <v>0</v>
      </c>
      <c r="P125" s="2" t="s">
        <v>87</v>
      </c>
    </row>
    <row r="126" spans="1:16" x14ac:dyDescent="0.25">
      <c r="A126" s="2">
        <v>2</v>
      </c>
      <c r="B126" s="3" cm="1">
        <f t="array" ref="B126">goodness_ratio(B94,B110)</f>
        <v>0.83306660100947916</v>
      </c>
      <c r="C126" s="3" cm="1">
        <f t="array" ref="C126">goodness_ratio(C94,C110)</f>
        <v>1.4578665517665887</v>
      </c>
      <c r="D126" s="3" cm="1">
        <f t="array" ref="D126">goodness_ratio(D94,D110)</f>
        <v>1.8743998522713283</v>
      </c>
      <c r="E126" s="3" cm="1">
        <f t="array" ref="E126">goodness_ratio(E94,E110)</f>
        <v>2.2909331527760677</v>
      </c>
      <c r="F126" s="3" cm="1">
        <f t="array" ref="F126">goodness_ratio(F94,F110)</f>
        <v>1.8743998522713283</v>
      </c>
      <c r="G126" s="3" cm="1">
        <f t="array" ref="G126">goodness_ratio(G94,G110)</f>
        <v>2.4991998030284379</v>
      </c>
      <c r="H126" s="3" cm="1">
        <f t="array" ref="H126">goodness_ratio(H94,H110)</f>
        <v>0</v>
      </c>
      <c r="I126" s="3" cm="1">
        <f t="array" ref="I126">goodness_ratio(I94,I110)</f>
        <v>0</v>
      </c>
      <c r="J126" s="3" cm="1">
        <f t="array" ref="J126">goodness_ratio(J94,J110)</f>
        <v>0</v>
      </c>
      <c r="K126" s="3" cm="1">
        <f t="array" ref="K126">goodness_ratio(K94,K110)</f>
        <v>-1</v>
      </c>
      <c r="L126" s="3" cm="1">
        <f t="array" ref="L126">goodness_ratio(L94,L110)</f>
        <v>-1</v>
      </c>
      <c r="M126" s="3" cm="1">
        <f t="array" ref="M126">goodness_ratio(M94,M110)</f>
        <v>-1</v>
      </c>
      <c r="N126" s="3" cm="1">
        <f t="array" ref="N126">goodness_ratio(N94,N110)</f>
        <v>-1</v>
      </c>
      <c r="P126" t="s">
        <v>88</v>
      </c>
    </row>
    <row r="127" spans="1:16" x14ac:dyDescent="0.25">
      <c r="A127" s="2">
        <v>3</v>
      </c>
      <c r="B127" s="3" cm="1">
        <f t="array" ref="B127">goodness_ratio(B95,B111)</f>
        <v>0.83306660100947916</v>
      </c>
      <c r="C127" s="3" cm="1">
        <f t="array" ref="C127">goodness_ratio(C95,C111)</f>
        <v>1.249599901514219</v>
      </c>
      <c r="D127" s="3" cm="1">
        <f t="array" ref="D127">goodness_ratio(D95,D111)</f>
        <v>1.8743998522713283</v>
      </c>
      <c r="E127" s="3" cm="1">
        <f t="array" ref="E127">goodness_ratio(E95,E111)</f>
        <v>1.6661332020189583</v>
      </c>
      <c r="F127" s="3" cm="1">
        <f t="array" ref="F127">goodness_ratio(F95,F111)</f>
        <v>0</v>
      </c>
      <c r="G127" s="3" cm="1">
        <f t="array" ref="G127">goodness_ratio(G95,G111)</f>
        <v>0</v>
      </c>
      <c r="H127" s="3" cm="1">
        <f t="array" ref="H127">goodness_ratio(H95,H111)</f>
        <v>-1</v>
      </c>
      <c r="I127" s="3" cm="1">
        <f t="array" ref="I127">goodness_ratio(I95,I111)</f>
        <v>-1</v>
      </c>
      <c r="J127" s="3" cm="1">
        <f t="array" ref="J127">goodness_ratio(J95,J111)</f>
        <v>-1</v>
      </c>
      <c r="K127" s="3" cm="1">
        <f t="array" ref="K127">goodness_ratio(K95,K111)</f>
        <v>-1</v>
      </c>
      <c r="L127" s="3" cm="1">
        <f t="array" ref="L127">goodness_ratio(L95,L111)</f>
        <v>-1</v>
      </c>
      <c r="M127" s="3" cm="1">
        <f t="array" ref="M127">goodness_ratio(M95,M111)</f>
        <v>-1</v>
      </c>
      <c r="N127" s="3" cm="1">
        <f t="array" ref="N127">goodness_ratio(N95,N111)</f>
        <v>-1</v>
      </c>
      <c r="P127" t="s">
        <v>89</v>
      </c>
    </row>
    <row r="128" spans="1:16" x14ac:dyDescent="0.25">
      <c r="A128" s="2">
        <v>4</v>
      </c>
      <c r="B128" s="3" cm="1">
        <f t="array" ref="B128">goodness_ratio(B96,B112)</f>
        <v>0.83306660100947916</v>
      </c>
      <c r="C128" s="3" cm="1">
        <f t="array" ref="C128">goodness_ratio(C96,C112)</f>
        <v>1.249599901514219</v>
      </c>
      <c r="D128" s="3" cm="1">
        <f t="array" ref="D128">goodness_ratio(D96,D112)</f>
        <v>1.249599901514219</v>
      </c>
      <c r="E128" s="3" cm="1">
        <f t="array" ref="E128">goodness_ratio(E96,E112)</f>
        <v>0</v>
      </c>
      <c r="F128" s="3" cm="1">
        <f t="array" ref="F128">goodness_ratio(F96,F112)</f>
        <v>-1</v>
      </c>
      <c r="G128" s="3" cm="1">
        <f t="array" ref="G128">goodness_ratio(G96,G112)</f>
        <v>-1</v>
      </c>
      <c r="H128" s="3" cm="1">
        <f t="array" ref="H128">goodness_ratio(H96,H112)</f>
        <v>-1</v>
      </c>
      <c r="I128" s="3" cm="1">
        <f t="array" ref="I128">goodness_ratio(I96,I112)</f>
        <v>-1</v>
      </c>
      <c r="J128" s="3" cm="1">
        <f t="array" ref="J128">goodness_ratio(J96,J112)</f>
        <v>-1</v>
      </c>
      <c r="K128" s="3" cm="1">
        <f t="array" ref="K128">goodness_ratio(K96,K112)</f>
        <v>-1</v>
      </c>
      <c r="L128" s="3" cm="1">
        <f t="array" ref="L128">goodness_ratio(L96,L112)</f>
        <v>-1</v>
      </c>
      <c r="M128" s="3" cm="1">
        <f t="array" ref="M128">goodness_ratio(M96,M112)</f>
        <v>-1</v>
      </c>
      <c r="N128" s="3" cm="1">
        <f t="array" ref="N128">goodness_ratio(N96,N112)</f>
        <v>-1</v>
      </c>
      <c r="P128" t="s">
        <v>90</v>
      </c>
    </row>
    <row r="129" spans="1:16" x14ac:dyDescent="0.25">
      <c r="A129" s="2">
        <v>5</v>
      </c>
      <c r="B129" s="3" cm="1">
        <f t="array" ref="B129">goodness_ratio(B97,B113)</f>
        <v>0.62479995075710948</v>
      </c>
      <c r="C129" s="3" cm="1">
        <f t="array" ref="C129">goodness_ratio(C97,C113)</f>
        <v>0.83306660100947916</v>
      </c>
      <c r="D129" s="3" cm="1">
        <f t="array" ref="D129">goodness_ratio(D97,D113)</f>
        <v>0</v>
      </c>
      <c r="E129" s="3" cm="1">
        <f t="array" ref="E129">goodness_ratio(E97,E113)</f>
        <v>-1</v>
      </c>
      <c r="F129" s="3" cm="1">
        <f t="array" ref="F129">goodness_ratio(F97,F113)</f>
        <v>-1</v>
      </c>
      <c r="G129" s="3" cm="1">
        <f t="array" ref="G129">goodness_ratio(G97,G113)</f>
        <v>-1</v>
      </c>
      <c r="H129" s="3" cm="1">
        <f t="array" ref="H129">goodness_ratio(H97,H113)</f>
        <v>-1</v>
      </c>
      <c r="I129" s="3" cm="1">
        <f t="array" ref="I129">goodness_ratio(I97,I113)</f>
        <v>-1</v>
      </c>
      <c r="J129" s="3" cm="1">
        <f t="array" ref="J129">goodness_ratio(J97,J113)</f>
        <v>-1</v>
      </c>
      <c r="K129" s="3" cm="1">
        <f t="array" ref="K129">goodness_ratio(K97,K113)</f>
        <v>-1</v>
      </c>
      <c r="L129" s="3" cm="1">
        <f t="array" ref="L129">goodness_ratio(L97,L113)</f>
        <v>-1</v>
      </c>
      <c r="M129" s="3" cm="1">
        <f t="array" ref="M129">goodness_ratio(M97,M113)</f>
        <v>-1</v>
      </c>
      <c r="N129" s="3" cm="1">
        <f t="array" ref="N129">goodness_ratio(N97,N113)</f>
        <v>-1</v>
      </c>
      <c r="P129" t="s">
        <v>91</v>
      </c>
    </row>
    <row r="130" spans="1:16" x14ac:dyDescent="0.25">
      <c r="A130" s="2">
        <v>6</v>
      </c>
      <c r="B130" s="3" cm="1">
        <f t="array" ref="B130">goodness_ratio(B98,B114)</f>
        <v>0.62479995075710948</v>
      </c>
      <c r="C130" s="3" cm="1">
        <f t="array" ref="C130">goodness_ratio(C98,C114)</f>
        <v>0.83306660100947916</v>
      </c>
      <c r="D130" s="3" cm="1">
        <f t="array" ref="D130">goodness_ratio(D98,D114)</f>
        <v>0</v>
      </c>
      <c r="E130" s="3" cm="1">
        <f t="array" ref="E130">goodness_ratio(E98,E114)</f>
        <v>-1</v>
      </c>
      <c r="F130" s="3" cm="1">
        <f t="array" ref="F130">goodness_ratio(F98,F114)</f>
        <v>-1</v>
      </c>
      <c r="G130" s="3" cm="1">
        <f t="array" ref="G130">goodness_ratio(G98,G114)</f>
        <v>-1</v>
      </c>
      <c r="H130" s="3" cm="1">
        <f t="array" ref="H130">goodness_ratio(H98,H114)</f>
        <v>-1</v>
      </c>
      <c r="I130" s="3" cm="1">
        <f t="array" ref="I130">goodness_ratio(I98,I114)</f>
        <v>-1</v>
      </c>
      <c r="J130" s="3" cm="1">
        <f t="array" ref="J130">goodness_ratio(J98,J114)</f>
        <v>-1</v>
      </c>
      <c r="K130" s="3" cm="1">
        <f t="array" ref="K130">goodness_ratio(K98,K114)</f>
        <v>-1</v>
      </c>
      <c r="L130" s="3" cm="1">
        <f t="array" ref="L130">goodness_ratio(L98,L114)</f>
        <v>-1</v>
      </c>
      <c r="M130" s="3" cm="1">
        <f t="array" ref="M130">goodness_ratio(M98,M114)</f>
        <v>-1</v>
      </c>
      <c r="N130" s="3" cm="1">
        <f t="array" ref="N130">goodness_ratio(N98,N114)</f>
        <v>-1</v>
      </c>
      <c r="P130" s="3" t="str">
        <f>"-1/Green not met by either battery type"</f>
        <v>-1/Green not met by either battery type</v>
      </c>
    </row>
    <row r="131" spans="1:16" x14ac:dyDescent="0.25">
      <c r="A131" s="2">
        <v>7</v>
      </c>
      <c r="B131" s="3" cm="1">
        <f t="array" ref="B131">goodness_ratio(B99,B115)</f>
        <v>0.62479995075710948</v>
      </c>
      <c r="C131" s="3" cm="1">
        <f t="array" ref="C131">goodness_ratio(C99,C115)</f>
        <v>0</v>
      </c>
      <c r="D131" s="3" cm="1">
        <f t="array" ref="D131">goodness_ratio(D99,D115)</f>
        <v>-1</v>
      </c>
      <c r="E131" s="3" cm="1">
        <f t="array" ref="E131">goodness_ratio(E99,E115)</f>
        <v>-1</v>
      </c>
      <c r="F131" s="3" cm="1">
        <f t="array" ref="F131">goodness_ratio(F99,F115)</f>
        <v>-1</v>
      </c>
      <c r="G131" s="3" cm="1">
        <f t="array" ref="G131">goodness_ratio(G99,G115)</f>
        <v>-1</v>
      </c>
      <c r="H131" s="3" cm="1">
        <f t="array" ref="H131">goodness_ratio(H99,H115)</f>
        <v>-1</v>
      </c>
      <c r="I131" s="3" cm="1">
        <f t="array" ref="I131">goodness_ratio(I99,I115)</f>
        <v>-1</v>
      </c>
      <c r="J131" s="3" cm="1">
        <f t="array" ref="J131">goodness_ratio(J99,J115)</f>
        <v>-1</v>
      </c>
      <c r="K131" s="3" cm="1">
        <f t="array" ref="K131">goodness_ratio(K99,K115)</f>
        <v>-1</v>
      </c>
      <c r="L131" s="3" cm="1">
        <f t="array" ref="L131">goodness_ratio(L99,L115)</f>
        <v>-1</v>
      </c>
      <c r="M131" s="3" cm="1">
        <f t="array" ref="M131">goodness_ratio(M99,M115)</f>
        <v>-1</v>
      </c>
      <c r="N131" s="3" cm="1">
        <f t="array" ref="N131">goodness_ratio(N99,N115)</f>
        <v>-1</v>
      </c>
    </row>
    <row r="132" spans="1:16" x14ac:dyDescent="0.25">
      <c r="A132" s="2">
        <v>8</v>
      </c>
      <c r="B132" s="3" cm="1">
        <f t="array" ref="B132">goodness_ratio(B100,B116)</f>
        <v>0.62479995075710948</v>
      </c>
      <c r="C132" s="3" cm="1">
        <f t="array" ref="C132">goodness_ratio(C100,C116)</f>
        <v>0</v>
      </c>
      <c r="D132" s="3" cm="1">
        <f t="array" ref="D132">goodness_ratio(D100,D116)</f>
        <v>-1</v>
      </c>
      <c r="E132" s="3" cm="1">
        <f t="array" ref="E132">goodness_ratio(E100,E116)</f>
        <v>-1</v>
      </c>
      <c r="F132" s="3" cm="1">
        <f t="array" ref="F132">goodness_ratio(F100,F116)</f>
        <v>-1</v>
      </c>
      <c r="G132" s="3" cm="1">
        <f t="array" ref="G132">goodness_ratio(G100,G116)</f>
        <v>-1</v>
      </c>
      <c r="H132" s="3" cm="1">
        <f t="array" ref="H132">goodness_ratio(H100,H116)</f>
        <v>-1</v>
      </c>
      <c r="I132" s="3" cm="1">
        <f t="array" ref="I132">goodness_ratio(I100,I116)</f>
        <v>-1</v>
      </c>
      <c r="J132" s="3" cm="1">
        <f t="array" ref="J132">goodness_ratio(J100,J116)</f>
        <v>-1</v>
      </c>
      <c r="K132" s="3" cm="1">
        <f t="array" ref="K132">goodness_ratio(K100,K116)</f>
        <v>-1</v>
      </c>
      <c r="L132" s="3" cm="1">
        <f t="array" ref="L132">goodness_ratio(L100,L116)</f>
        <v>-1</v>
      </c>
      <c r="M132" s="3" cm="1">
        <f t="array" ref="M132">goodness_ratio(M100,M116)</f>
        <v>-1</v>
      </c>
      <c r="N132" s="3" cm="1">
        <f t="array" ref="N132">goodness_ratio(N100,N116)</f>
        <v>-1</v>
      </c>
    </row>
    <row r="133" spans="1:16" x14ac:dyDescent="0.25">
      <c r="A133" s="2">
        <v>9</v>
      </c>
      <c r="B133" s="3" cm="1">
        <f t="array" ref="B133">goodness_ratio(B101,B117)</f>
        <v>0.62479995075710948</v>
      </c>
      <c r="C133" s="3" cm="1">
        <f t="array" ref="C133">goodness_ratio(C101,C117)</f>
        <v>0</v>
      </c>
      <c r="D133" s="3" cm="1">
        <f t="array" ref="D133">goodness_ratio(D101,D117)</f>
        <v>-1</v>
      </c>
      <c r="E133" s="3" cm="1">
        <f t="array" ref="E133">goodness_ratio(E101,E117)</f>
        <v>-1</v>
      </c>
      <c r="F133" s="3" cm="1">
        <f t="array" ref="F133">goodness_ratio(F101,F117)</f>
        <v>-1</v>
      </c>
      <c r="G133" s="3" cm="1">
        <f t="array" ref="G133">goodness_ratio(G101,G117)</f>
        <v>-1</v>
      </c>
      <c r="H133" s="3" cm="1">
        <f t="array" ref="H133">goodness_ratio(H101,H117)</f>
        <v>-1</v>
      </c>
      <c r="I133" s="3" cm="1">
        <f t="array" ref="I133">goodness_ratio(I101,I117)</f>
        <v>-1</v>
      </c>
      <c r="J133" s="3" cm="1">
        <f t="array" ref="J133">goodness_ratio(J101,J117)</f>
        <v>-1</v>
      </c>
      <c r="K133" s="3" cm="1">
        <f t="array" ref="K133">goodness_ratio(K101,K117)</f>
        <v>-1</v>
      </c>
      <c r="L133" s="3" cm="1">
        <f t="array" ref="L133">goodness_ratio(L101,L117)</f>
        <v>-1</v>
      </c>
      <c r="M133" s="3" cm="1">
        <f t="array" ref="M133">goodness_ratio(M101,M117)</f>
        <v>-1</v>
      </c>
      <c r="N133" s="3" cm="1">
        <f t="array" ref="N133">goodness_ratio(N101,N117)</f>
        <v>-1</v>
      </c>
    </row>
    <row r="134" spans="1:16" x14ac:dyDescent="0.25">
      <c r="A134" s="2">
        <v>10</v>
      </c>
      <c r="B134" s="3" cm="1">
        <f t="array" ref="B134">goodness_ratio(B102,B118)</f>
        <v>0.41653330050473958</v>
      </c>
      <c r="C134" s="3" cm="1">
        <f t="array" ref="C134">goodness_ratio(C102,C118)</f>
        <v>-1</v>
      </c>
      <c r="D134" s="3" cm="1">
        <f t="array" ref="D134">goodness_ratio(D102,D118)</f>
        <v>-1</v>
      </c>
      <c r="E134" s="3" cm="1">
        <f t="array" ref="E134">goodness_ratio(E102,E118)</f>
        <v>-1</v>
      </c>
      <c r="F134" s="3" cm="1">
        <f t="array" ref="F134">goodness_ratio(F102,F118)</f>
        <v>-1</v>
      </c>
      <c r="G134" s="3" cm="1">
        <f t="array" ref="G134">goodness_ratio(G102,G118)</f>
        <v>-1</v>
      </c>
      <c r="H134" s="3" cm="1">
        <f t="array" ref="H134">goodness_ratio(H102,H118)</f>
        <v>-1</v>
      </c>
      <c r="I134" s="3" cm="1">
        <f t="array" ref="I134">goodness_ratio(I102,I118)</f>
        <v>-1</v>
      </c>
      <c r="J134" s="3" cm="1">
        <f t="array" ref="J134">goodness_ratio(J102,J118)</f>
        <v>-1</v>
      </c>
      <c r="K134" s="3" cm="1">
        <f t="array" ref="K134">goodness_ratio(K102,K118)</f>
        <v>-1</v>
      </c>
      <c r="L134" s="3" cm="1">
        <f t="array" ref="L134">goodness_ratio(L102,L118)</f>
        <v>-1</v>
      </c>
      <c r="M134" s="3" cm="1">
        <f t="array" ref="M134">goodness_ratio(M102,M118)</f>
        <v>-1</v>
      </c>
      <c r="N134" s="3" cm="1">
        <f t="array" ref="N134">goodness_ratio(N102,N118)</f>
        <v>-1</v>
      </c>
    </row>
    <row r="135" spans="1:16" x14ac:dyDescent="0.25">
      <c r="A135" s="2">
        <v>11</v>
      </c>
      <c r="B135" s="3" cm="1">
        <f t="array" ref="B135">goodness_ratio(B103,B119)</f>
        <v>0.41653330050473958</v>
      </c>
      <c r="C135" s="3" cm="1">
        <f t="array" ref="C135">goodness_ratio(C103,C119)</f>
        <v>-1</v>
      </c>
      <c r="D135" s="3" cm="1">
        <f t="array" ref="D135">goodness_ratio(D103,D119)</f>
        <v>-1</v>
      </c>
      <c r="E135" s="3" cm="1">
        <f t="array" ref="E135">goodness_ratio(E103,E119)</f>
        <v>-1</v>
      </c>
      <c r="F135" s="3" cm="1">
        <f t="array" ref="F135">goodness_ratio(F103,F119)</f>
        <v>-1</v>
      </c>
      <c r="G135" s="3" cm="1">
        <f t="array" ref="G135">goodness_ratio(G103,G119)</f>
        <v>-1</v>
      </c>
      <c r="H135" s="3" cm="1">
        <f t="array" ref="H135">goodness_ratio(H103,H119)</f>
        <v>-1</v>
      </c>
      <c r="I135" s="3" cm="1">
        <f t="array" ref="I135">goodness_ratio(I103,I119)</f>
        <v>-1</v>
      </c>
      <c r="J135" s="3" cm="1">
        <f t="array" ref="J135">goodness_ratio(J103,J119)</f>
        <v>-1</v>
      </c>
      <c r="K135" s="3" cm="1">
        <f t="array" ref="K135">goodness_ratio(K103,K119)</f>
        <v>-1</v>
      </c>
      <c r="L135" s="3" cm="1">
        <f t="array" ref="L135">goodness_ratio(L103,L119)</f>
        <v>-1</v>
      </c>
      <c r="M135" s="3" cm="1">
        <f t="array" ref="M135">goodness_ratio(M103,M119)</f>
        <v>-1</v>
      </c>
      <c r="N135" s="3" cm="1">
        <f t="array" ref="N135">goodness_ratio(N103,N119)</f>
        <v>-1</v>
      </c>
    </row>
    <row r="136" spans="1:16" x14ac:dyDescent="0.25">
      <c r="A136" s="2">
        <v>12</v>
      </c>
      <c r="B136" s="3" cm="1">
        <f t="array" ref="B136">goodness_ratio(B104,B120)</f>
        <v>0.41653330050473958</v>
      </c>
      <c r="C136" s="3" cm="1">
        <f t="array" ref="C136">goodness_ratio(C104,C120)</f>
        <v>-1</v>
      </c>
      <c r="D136" s="3" cm="1">
        <f t="array" ref="D136">goodness_ratio(D104,D120)</f>
        <v>-1</v>
      </c>
      <c r="E136" s="3" cm="1">
        <f t="array" ref="E136">goodness_ratio(E104,E120)</f>
        <v>-1</v>
      </c>
      <c r="F136" s="3" cm="1">
        <f t="array" ref="F136">goodness_ratio(F104,F120)</f>
        <v>-1</v>
      </c>
      <c r="G136" s="3" cm="1">
        <f t="array" ref="G136">goodness_ratio(G104,G120)</f>
        <v>-1</v>
      </c>
      <c r="H136" s="3" cm="1">
        <f t="array" ref="H136">goodness_ratio(H104,H120)</f>
        <v>-1</v>
      </c>
      <c r="I136" s="3" cm="1">
        <f t="array" ref="I136">goodness_ratio(I104,I120)</f>
        <v>-1</v>
      </c>
      <c r="J136" s="3" cm="1">
        <f t="array" ref="J136">goodness_ratio(J104,J120)</f>
        <v>-1</v>
      </c>
      <c r="K136" s="3" cm="1">
        <f t="array" ref="K136">goodness_ratio(K104,K120)</f>
        <v>-1</v>
      </c>
      <c r="L136" s="3" cm="1">
        <f t="array" ref="L136">goodness_ratio(L104,L120)</f>
        <v>-1</v>
      </c>
      <c r="M136" s="3" cm="1">
        <f t="array" ref="M136">goodness_ratio(M104,M120)</f>
        <v>-1</v>
      </c>
      <c r="N136" s="3" cm="1">
        <f t="array" ref="N136">goodness_ratio(N104,N120)</f>
        <v>-1</v>
      </c>
    </row>
  </sheetData>
  <conditionalFormatting sqref="B76:N88 P8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25:N13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Battery Capacity</vt:lpstr>
      <vt:lpstr>Lifetime Cost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Zak</dc:creator>
  <cp:lastModifiedBy>Bob Zak</cp:lastModifiedBy>
  <dcterms:created xsi:type="dcterms:W3CDTF">2021-09-05T23:10:44Z</dcterms:created>
  <dcterms:modified xsi:type="dcterms:W3CDTF">2022-04-09T17:41:30Z</dcterms:modified>
</cp:coreProperties>
</file>